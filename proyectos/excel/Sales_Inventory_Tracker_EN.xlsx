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Products" sheetId="3" state="visible" r:id="rId5"/>
    <sheet name="Sales" sheetId="4" state="visible" r:id="rId6"/>
  </sheets>
  <definedNames>
    <definedName function="false" hidden="true" localSheetId="2" name="_xlnm._FilterDatabase" vbProcedure="false">Products!$A$1:$M$201</definedName>
    <definedName function="false" hidden="true" localSheetId="3" name="_xlnm._FilterDatabase" vbProcedure="false">Sales!$A$1:$K$1001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Change this date to shift the monthly table.</t>
        </r>
      </text>
    </comment>
  </commentList>
</comments>
</file>

<file path=xl/sharedStrings.xml><?xml version="1.0" encoding="utf-8"?>
<sst xmlns="http://schemas.openxmlformats.org/spreadsheetml/2006/main" count="243" uniqueCount="71">
  <si>
    <t xml:space="preserve">Sales &amp; Inventory Tracker</t>
  </si>
  <si>
    <t xml:space="preserve">Template for small businesses · log your sales and everything else is calculated</t>
  </si>
  <si>
    <t xml:space="preserve">How to use it</t>
  </si>
  <si>
    <t xml:space="preserve">1. Products: enter your items (unique code, name, category, price, unit cost, opening stock and minimum stock).</t>
  </si>
  <si>
    <t xml:space="preserve">2. Sales: log each sale with date, code, quantity and discount. Product, price, total, cost and margin fill in automatically.</t>
  </si>
  <si>
    <t xml:space="preserve">3. Dashboard: key metrics, sales by month and by category, and reorder alerts.</t>
  </si>
  <si>
    <t xml:space="preserve">Editable cells</t>
  </si>
  <si>
    <t xml:space="preserve">Only type in cells with a yellow background. Every other cell holds a formula.</t>
  </si>
  <si>
    <t xml:space="preserve">Sample data</t>
  </si>
  <si>
    <t xml:space="preserve">The products and sales included are fictional so you can see how it works. Clear them (yellow cells only) and enter your own.</t>
  </si>
  <si>
    <t xml:space="preserve">Capacity</t>
  </si>
  <si>
    <t xml:space="preserve">Up to 200 products and 1000 sales. For more rows, copy the last formula row down.</t>
  </si>
  <si>
    <t xml:space="preserve">Compatibility</t>
  </si>
  <si>
    <t xml:space="preserve">Excel 2010 or later, Google Sheets and LibreOffice. No macros.</t>
  </si>
  <si>
    <t xml:space="preserve">Total revenue</t>
  </si>
  <si>
    <t xml:space="preserve">Units sold</t>
  </si>
  <si>
    <t xml:space="preserve">Number of sales</t>
  </si>
  <si>
    <t xml:space="preserve">Average ticket</t>
  </si>
  <si>
    <t xml:space="preserve">Gross margin</t>
  </si>
  <si>
    <t xml:space="preserve">Margin %</t>
  </si>
  <si>
    <t xml:space="preserve">Products to reorder</t>
  </si>
  <si>
    <t xml:space="preserve">Best-selling product</t>
  </si>
  <si>
    <t xml:space="preserve">First month of report</t>
  </si>
  <si>
    <t xml:space="preserve">Month</t>
  </si>
  <si>
    <t xml:space="preserve">Revenue</t>
  </si>
  <si>
    <t xml:space="preserve">Units</t>
  </si>
  <si>
    <t xml:space="preserve">Category</t>
  </si>
  <si>
    <t xml:space="preserve">Coffee</t>
  </si>
  <si>
    <t xml:space="preserve">Tea</t>
  </si>
  <si>
    <t xml:space="preserve">Accessories</t>
  </si>
  <si>
    <t xml:space="preserve">Snacks</t>
  </si>
  <si>
    <t xml:space="preserve">Type your categories here (same text as in Products).</t>
  </si>
  <si>
    <t xml:space="preserve">Code</t>
  </si>
  <si>
    <t xml:space="preserve">Product</t>
  </si>
  <si>
    <t xml:space="preserve">Sale price</t>
  </si>
  <si>
    <t xml:space="preserve">Unit cost</t>
  </si>
  <si>
    <t xml:space="preserve">Opening stock</t>
  </si>
  <si>
    <t xml:space="preserve">Minimum stock</t>
  </si>
  <si>
    <t xml:space="preserve">Current stock</t>
  </si>
  <si>
    <t xml:space="preserve">Status</t>
  </si>
  <si>
    <t xml:space="preserve">COF-001</t>
  </si>
  <si>
    <t xml:space="preserve">Whole bean coffee 250 g</t>
  </si>
  <si>
    <t xml:space="preserve">COF-002</t>
  </si>
  <si>
    <t xml:space="preserve">Ground coffee 500 g</t>
  </si>
  <si>
    <t xml:space="preserve">COF-003</t>
  </si>
  <si>
    <t xml:space="preserve">Specialty coffee 250 g</t>
  </si>
  <si>
    <t xml:space="preserve">TEA-001</t>
  </si>
  <si>
    <t xml:space="preserve">Green tea 50 g</t>
  </si>
  <si>
    <t xml:space="preserve">TEA-002</t>
  </si>
  <si>
    <t xml:space="preserve">Chai tea 50 g</t>
  </si>
  <si>
    <t xml:space="preserve">ACC-001</t>
  </si>
  <si>
    <t xml:space="preserve">Ceramic mug</t>
  </si>
  <si>
    <t xml:space="preserve">ACC-002</t>
  </si>
  <si>
    <t xml:space="preserve">Steel tumbler 500 ml</t>
  </si>
  <si>
    <t xml:space="preserve">ACC-003</t>
  </si>
  <si>
    <t xml:space="preserve">Paper filters (100 pcs)</t>
  </si>
  <si>
    <t xml:space="preserve">ACC-004</t>
  </si>
  <si>
    <t xml:space="preserve">French press 600 ml</t>
  </si>
  <si>
    <t xml:space="preserve">SNK-001</t>
  </si>
  <si>
    <t xml:space="preserve">Oat cookies (6 pcs)</t>
  </si>
  <si>
    <t xml:space="preserve">SNK-002</t>
  </si>
  <si>
    <t xml:space="preserve">Dark chocolate bar 70%</t>
  </si>
  <si>
    <t xml:space="preserve">SNK-003</t>
  </si>
  <si>
    <t xml:space="preserve">Granola 300 g</t>
  </si>
  <si>
    <t xml:space="preserve">Date</t>
  </si>
  <si>
    <t xml:space="preserve">Quantity</t>
  </si>
  <si>
    <t xml:space="preserve">Discount</t>
  </si>
  <si>
    <t xml:space="preserve">Unit price</t>
  </si>
  <si>
    <t xml:space="preserve">Total</t>
  </si>
  <si>
    <t xml:space="preserve">Cost</t>
  </si>
  <si>
    <t xml:space="preserve">Margin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</si>
</sst>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#,##0"/>
    <numFmt numFmtId="167" formatCode="0.0%"/>
    <numFmt numFmtId="168" formatCode="0"/>
    <numFmt numFmtId="169" formatCode="@"/>
    <numFmt numFmtId="170" formatCode="mmm\ yyyy"/>
    <numFmt numFmtId="171" formatCode="\$#,##0"/>
    <numFmt numFmtId="172" formatCode="General"/>
    <numFmt numFmtId="173" formatCode="yyyy\-mm\-dd"/>
    <numFmt numFmtId="174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5A6B7D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A6B7D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EEF3F8"/>
        <bgColor rgb="FFF9F9F9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8D7DA"/>
        </patternFill>
      </fill>
    </dxf>
    <dxf>
      <font>
        <name val="Arial"/>
        <charset val="1"/>
        <family val="0"/>
        <color rgb="FF9B1C1C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4C2"/>
      <rgbColor rgb="FFEEF3F8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A6B7D"/>
      <rgbColor rgb="FF969696"/>
      <rgbColor rgb="FF1F3A5F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Dashboard!$B$16:$B$27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Dashboard!$C$16:$C$27</c:f>
              <c:numCache>
                <c:formatCode>\$#,##0.00</c:formatCode>
                <c:ptCount val="12"/>
                <c:pt idx="0">
                  <c:v>95.05</c:v>
                </c:pt>
                <c:pt idx="1">
                  <c:v>211.91</c:v>
                </c:pt>
                <c:pt idx="2">
                  <c:v>299.39</c:v>
                </c:pt>
                <c:pt idx="3">
                  <c:v>230.575</c:v>
                </c:pt>
                <c:pt idx="4">
                  <c:v>285.38</c:v>
                </c:pt>
                <c:pt idx="5">
                  <c:v>359.5</c:v>
                </c:pt>
                <c:pt idx="6">
                  <c:v>293.28</c:v>
                </c:pt>
                <c:pt idx="7">
                  <c:v>353.81</c:v>
                </c:pt>
                <c:pt idx="8">
                  <c:v>334.415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060968"/>
        <c:axId val="62928670"/>
      </c:barChart>
      <c:catAx>
        <c:axId val="406096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28670"/>
        <c:crosses val="autoZero"/>
        <c:auto val="1"/>
        <c:lblAlgn val="ctr"/>
        <c:lblOffset val="100"/>
        <c:noMultiLvlLbl val="0"/>
      </c:catAx>
      <c:valAx>
        <c:axId val="6292867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09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Dashboard!H15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Dashboard!$G$16:$G$23</c:f>
              <c:strCache>
                <c:ptCount val="8"/>
                <c:pt idx="0">
                  <c:v>Coffee</c:v>
                </c:pt>
                <c:pt idx="1">
                  <c:v>Tea</c:v>
                </c:pt>
                <c:pt idx="2">
                  <c:v>Accessories</c:v>
                </c:pt>
                <c:pt idx="3">
                  <c:v>Snacks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Dashboard!$H$16:$H$23</c:f>
              <c:numCache>
                <c:formatCode>\$#,##0.00</c:formatCode>
                <c:ptCount val="8"/>
                <c:pt idx="0">
                  <c:v>1477.6</c:v>
                </c:pt>
                <c:pt idx="1">
                  <c:v>202.7</c:v>
                </c:pt>
                <c:pt idx="2">
                  <c:v>554.25</c:v>
                </c:pt>
                <c:pt idx="3">
                  <c:v>228.76</c:v>
                </c:pt>
              </c:numCache>
            </c:numRef>
          </c:val>
        </c:ser>
        <c:gapWidth val="150"/>
        <c:overlap val="0"/>
        <c:axId val="80751096"/>
        <c:axId val="52613759"/>
      </c:barChart>
      <c:catAx>
        <c:axId val="80751096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13759"/>
        <c:crosses val="autoZero"/>
        <c:auto val="1"/>
        <c:lblAlgn val="ctr"/>
        <c:lblOffset val="100"/>
        <c:noMultiLvlLbl val="0"/>
      </c:catAx>
      <c:valAx>
        <c:axId val="52613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510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131040</xdr:rowOff>
    </xdr:from>
    <xdr:to>
      <xdr:col>6</xdr:col>
      <xdr:colOff>128160</xdr:colOff>
      <xdr:row>42</xdr:row>
      <xdr:rowOff>163440</xdr:rowOff>
    </xdr:to>
    <xdr:graphicFrame>
      <xdr:nvGraphicFramePr>
        <xdr:cNvPr id="0" name="Chart 1"/>
        <xdr:cNvGraphicFramePr/>
      </xdr:nvGraphicFramePr>
      <xdr:xfrm>
        <a:off x="211320" y="5524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130680</xdr:rowOff>
    </xdr:from>
    <xdr:to>
      <xdr:col>10</xdr:col>
      <xdr:colOff>246600</xdr:colOff>
      <xdr:row>39</xdr:row>
      <xdr:rowOff>163440</xdr:rowOff>
    </xdr:to>
    <xdr:graphicFrame>
      <xdr:nvGraphicFramePr>
        <xdr:cNvPr id="1" name="Chart 2"/>
        <xdr:cNvGraphicFramePr/>
      </xdr:nvGraphicFramePr>
      <xdr:xfrm>
        <a:off x="6202800" y="4952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5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4" t="s">
        <v>11</v>
      </c>
    </row>
    <row r="19" customFormat="false" ht="15" hidden="false" customHeight="false" outlineLevel="0" collapsed="false">
      <c r="B19" s="3" t="s">
        <v>12</v>
      </c>
    </row>
    <row r="20" customFormat="false" ht="15" hidden="false" customHeight="false" outlineLevel="0" collapsed="false">
      <c r="B20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</cols>
  <sheetData>
    <row r="2" customFormat="false" ht="19.7" hidden="false" customHeight="false" outlineLevel="0" collapsed="false">
      <c r="B2" s="6" t="s">
        <v>0</v>
      </c>
    </row>
    <row r="4" customFormat="false" ht="15" hidden="false" customHeight="false" outlineLevel="0" collapsed="false">
      <c r="B4" s="7" t="s">
        <v>14</v>
      </c>
      <c r="C4" s="8" t="n">
        <f aca="false">SUM(Sales!$H$2:$H$1001)</f>
        <v>2463.31</v>
      </c>
    </row>
    <row r="5" customFormat="false" ht="15" hidden="false" customHeight="false" outlineLevel="0" collapsed="false">
      <c r="B5" s="7" t="s">
        <v>15</v>
      </c>
      <c r="C5" s="9" t="n">
        <f aca="false">SUM(Sales!$C$2:$C$1001)</f>
        <v>255</v>
      </c>
    </row>
    <row r="6" customFormat="false" ht="15" hidden="false" customHeight="false" outlineLevel="0" collapsed="false">
      <c r="B6" s="7" t="s">
        <v>16</v>
      </c>
      <c r="C6" s="9" t="n">
        <f aca="false">COUNT(Sales!$A$2:$A$1001)</f>
        <v>146</v>
      </c>
    </row>
    <row r="7" customFormat="false" ht="15" hidden="false" customHeight="false" outlineLevel="0" collapsed="false">
      <c r="B7" s="7" t="s">
        <v>17</v>
      </c>
      <c r="C7" s="8" t="n">
        <f aca="false">IF(C6=0,0,C4/C6)</f>
        <v>16.8719863013699</v>
      </c>
    </row>
    <row r="8" customFormat="false" ht="15" hidden="false" customHeight="false" outlineLevel="0" collapsed="false">
      <c r="B8" s="7" t="s">
        <v>18</v>
      </c>
      <c r="C8" s="8" t="n">
        <f aca="false">SUM(Sales!$J$2:$J$1001)</f>
        <v>1310.71</v>
      </c>
    </row>
    <row r="9" customFormat="false" ht="15" hidden="false" customHeight="false" outlineLevel="0" collapsed="false">
      <c r="B9" s="7" t="s">
        <v>19</v>
      </c>
      <c r="C9" s="10" t="n">
        <f aca="false">IF(C4=0,0,C8/C4)</f>
        <v>0.53209299682135</v>
      </c>
    </row>
    <row r="10" customFormat="false" ht="15" hidden="false" customHeight="false" outlineLevel="0" collapsed="false">
      <c r="B10" s="7" t="s">
        <v>20</v>
      </c>
      <c r="C10" s="11" t="n">
        <f aca="false">COUNTIF(Products!$J$2:$J$201,"Reorder")</f>
        <v>2</v>
      </c>
    </row>
    <row r="11" customFormat="false" ht="15" hidden="false" customHeight="false" outlineLevel="0" collapsed="false">
      <c r="B11" s="7" t="s">
        <v>21</v>
      </c>
      <c r="C11" s="12" t="str">
        <f aca="false">IFERROR(INDEX(Products!$B$2:$B$201,MATCH(MAX(Products!$H$2:$H$201),Products!$H$2:$H$201,0)),"")</f>
        <v>Ground coffee 500 g</v>
      </c>
    </row>
    <row r="13" customFormat="false" ht="15" hidden="false" customHeight="false" outlineLevel="0" collapsed="false">
      <c r="B13" s="13" t="s">
        <v>22</v>
      </c>
      <c r="C13" s="14" t="n">
        <v>46023</v>
      </c>
    </row>
    <row r="15" customFormat="false" ht="15" hidden="false" customHeight="false" outlineLevel="0" collapsed="false">
      <c r="B15" s="15" t="s">
        <v>23</v>
      </c>
      <c r="C15" s="15" t="s">
        <v>24</v>
      </c>
      <c r="D15" s="15" t="s">
        <v>25</v>
      </c>
      <c r="E15" s="15" t="s">
        <v>18</v>
      </c>
      <c r="G15" s="15" t="s">
        <v>26</v>
      </c>
      <c r="H15" s="15" t="s">
        <v>24</v>
      </c>
      <c r="I15" s="15" t="s">
        <v>25</v>
      </c>
      <c r="J15" s="15" t="s">
        <v>18</v>
      </c>
    </row>
    <row r="16" customFormat="false" ht="15" hidden="false" customHeight="false" outlineLevel="0" collapsed="false">
      <c r="B16" s="16" t="n">
        <f aca="false">DATE(YEAR($C$13),MONTH($C$13)+0,1)</f>
        <v>46023</v>
      </c>
      <c r="C16" s="17" t="n">
        <f aca="false">SUMIFS(Sales!$H$2:$H$1001,Sales!$K$2:$K$1001,$B16)</f>
        <v>95.05</v>
      </c>
      <c r="D16" s="18" t="n">
        <f aca="false">SUMIFS(Sales!$C$2:$C$1001,Sales!$K$2:$K$1001,$B16)</f>
        <v>11</v>
      </c>
      <c r="E16" s="17" t="n">
        <f aca="false">SUMIFS(Sales!$J$2:$J$1001,Sales!$K$2:$K$1001,$B16)</f>
        <v>51.15</v>
      </c>
      <c r="G16" s="19" t="s">
        <v>27</v>
      </c>
      <c r="H16" s="17" t="n">
        <f aca="false">IF($G16="","",SUMIFS(Sales!$H$2:$H$1001,Sales!$F$2:$F$1001,$G16))</f>
        <v>1477.6</v>
      </c>
      <c r="I16" s="18" t="n">
        <f aca="false">IF($G16="","",SUMIFS(Sales!$C$2:$C$1001,Sales!$F$2:$F$1001,$G16))</f>
        <v>110</v>
      </c>
      <c r="J16" s="17" t="n">
        <f aca="false">IF($G16="","",SUMIFS(Sales!$J$2:$J$1001,Sales!$F$2:$F$1001,$G16))</f>
        <v>750.1</v>
      </c>
    </row>
    <row r="17" customFormat="false" ht="15" hidden="false" customHeight="false" outlineLevel="0" collapsed="false">
      <c r="B17" s="16" t="n">
        <f aca="false">DATE(YEAR($C$13),MONTH($C$13)+1,1)</f>
        <v>46054</v>
      </c>
      <c r="C17" s="17" t="n">
        <f aca="false">SUMIFS(Sales!$H$2:$H$1001,Sales!$K$2:$K$1001,$B17)</f>
        <v>211.91</v>
      </c>
      <c r="D17" s="18" t="n">
        <f aca="false">SUMIFS(Sales!$C$2:$C$1001,Sales!$K$2:$K$1001,$B17)</f>
        <v>23</v>
      </c>
      <c r="E17" s="17" t="n">
        <f aca="false">SUMIFS(Sales!$J$2:$J$1001,Sales!$K$2:$K$1001,$B17)</f>
        <v>110.31</v>
      </c>
      <c r="G17" s="19" t="s">
        <v>28</v>
      </c>
      <c r="H17" s="17" t="n">
        <f aca="false">IF($G17="","",SUMIFS(Sales!$H$2:$H$1001,Sales!$F$2:$F$1001,$G17))</f>
        <v>202.7</v>
      </c>
      <c r="I17" s="18" t="n">
        <f aca="false">IF($G17="","",SUMIFS(Sales!$C$2:$C$1001,Sales!$F$2:$F$1001,$G17))</f>
        <v>34</v>
      </c>
      <c r="J17" s="17" t="n">
        <f aca="false">IF($G17="","",SUMIFS(Sales!$J$2:$J$1001,Sales!$F$2:$F$1001,$G17))</f>
        <v>119.5</v>
      </c>
    </row>
    <row r="18" customFormat="false" ht="15" hidden="false" customHeight="false" outlineLevel="0" collapsed="false">
      <c r="B18" s="16" t="n">
        <f aca="false">DATE(YEAR($C$13),MONTH($C$13)+2,1)</f>
        <v>46082</v>
      </c>
      <c r="C18" s="17" t="n">
        <f aca="false">SUMIFS(Sales!$H$2:$H$1001,Sales!$K$2:$K$1001,$B18)</f>
        <v>299.39</v>
      </c>
      <c r="D18" s="18" t="n">
        <f aca="false">SUMIFS(Sales!$C$2:$C$1001,Sales!$K$2:$K$1001,$B18)</f>
        <v>32</v>
      </c>
      <c r="E18" s="17" t="n">
        <f aca="false">SUMIFS(Sales!$J$2:$J$1001,Sales!$K$2:$K$1001,$B18)</f>
        <v>159.49</v>
      </c>
      <c r="G18" s="19" t="s">
        <v>29</v>
      </c>
      <c r="H18" s="17" t="n">
        <f aca="false">IF($G18="","",SUMIFS(Sales!$H$2:$H$1001,Sales!$F$2:$F$1001,$G18))</f>
        <v>554.25</v>
      </c>
      <c r="I18" s="18" t="n">
        <f aca="false">IF($G18="","",SUMIFS(Sales!$C$2:$C$1001,Sales!$F$2:$F$1001,$G18))</f>
        <v>57</v>
      </c>
      <c r="J18" s="17" t="n">
        <f aca="false">IF($G18="","",SUMIFS(Sales!$J$2:$J$1001,Sales!$F$2:$F$1001,$G18))</f>
        <v>304.55</v>
      </c>
    </row>
    <row r="19" customFormat="false" ht="15" hidden="false" customHeight="false" outlineLevel="0" collapsed="false">
      <c r="B19" s="16" t="n">
        <f aca="false">DATE(YEAR($C$13),MONTH($C$13)+3,1)</f>
        <v>46113</v>
      </c>
      <c r="C19" s="17" t="n">
        <f aca="false">SUMIFS(Sales!$H$2:$H$1001,Sales!$K$2:$K$1001,$B19)</f>
        <v>230.575</v>
      </c>
      <c r="D19" s="18" t="n">
        <f aca="false">SUMIFS(Sales!$C$2:$C$1001,Sales!$K$2:$K$1001,$B19)</f>
        <v>26</v>
      </c>
      <c r="E19" s="17" t="n">
        <f aca="false">SUMIFS(Sales!$J$2:$J$1001,Sales!$K$2:$K$1001,$B19)</f>
        <v>120.475</v>
      </c>
      <c r="G19" s="19" t="s">
        <v>30</v>
      </c>
      <c r="H19" s="17" t="n">
        <f aca="false">IF($G19="","",SUMIFS(Sales!$H$2:$H$1001,Sales!$F$2:$F$1001,$G19))</f>
        <v>228.76</v>
      </c>
      <c r="I19" s="18" t="n">
        <f aca="false">IF($G19="","",SUMIFS(Sales!$C$2:$C$1001,Sales!$F$2:$F$1001,$G19))</f>
        <v>54</v>
      </c>
      <c r="J19" s="17" t="n">
        <f aca="false">IF($G19="","",SUMIFS(Sales!$J$2:$J$1001,Sales!$F$2:$F$1001,$G19))</f>
        <v>136.56</v>
      </c>
    </row>
    <row r="20" customFormat="false" ht="15" hidden="false" customHeight="false" outlineLevel="0" collapsed="false">
      <c r="B20" s="16" t="n">
        <f aca="false">DATE(YEAR($C$13),MONTH($C$13)+4,1)</f>
        <v>46143</v>
      </c>
      <c r="C20" s="17" t="n">
        <f aca="false">SUMIFS(Sales!$H$2:$H$1001,Sales!$K$2:$K$1001,$B20)</f>
        <v>285.38</v>
      </c>
      <c r="D20" s="18" t="n">
        <f aca="false">SUMIFS(Sales!$C$2:$C$1001,Sales!$K$2:$K$1001,$B20)</f>
        <v>24</v>
      </c>
      <c r="E20" s="17" t="n">
        <f aca="false">SUMIFS(Sales!$J$2:$J$1001,Sales!$K$2:$K$1001,$B20)</f>
        <v>149.28</v>
      </c>
      <c r="G20" s="19"/>
      <c r="H20" s="17" t="str">
        <f aca="false">IF($G20="","",SUMIFS(Sales!$H$2:$H$1001,Sales!$F$2:$F$1001,$G20))</f>
        <v/>
      </c>
      <c r="I20" s="18" t="str">
        <f aca="false">IF($G20="","",SUMIFS(Sales!$C$2:$C$1001,Sales!$F$2:$F$1001,$G20))</f>
        <v/>
      </c>
      <c r="J20" s="17" t="str">
        <f aca="false">IF($G20="","",SUMIFS(Sales!$J$2:$J$1001,Sales!$F$2:$F$1001,$G20))</f>
        <v/>
      </c>
    </row>
    <row r="21" customFormat="false" ht="15" hidden="false" customHeight="false" outlineLevel="0" collapsed="false">
      <c r="B21" s="16" t="n">
        <f aca="false">DATE(YEAR($C$13),MONTH($C$13)+5,1)</f>
        <v>46174</v>
      </c>
      <c r="C21" s="17" t="n">
        <f aca="false">SUMIFS(Sales!$H$2:$H$1001,Sales!$K$2:$K$1001,$B21)</f>
        <v>359.5</v>
      </c>
      <c r="D21" s="18" t="n">
        <f aca="false">SUMIFS(Sales!$C$2:$C$1001,Sales!$K$2:$K$1001,$B21)</f>
        <v>30</v>
      </c>
      <c r="E21" s="17" t="n">
        <f aca="false">SUMIFS(Sales!$J$2:$J$1001,Sales!$K$2:$K$1001,$B21)</f>
        <v>191.1</v>
      </c>
      <c r="G21" s="19"/>
      <c r="H21" s="17" t="str">
        <f aca="false">IF($G21="","",SUMIFS(Sales!$H$2:$H$1001,Sales!$F$2:$F$1001,$G21))</f>
        <v/>
      </c>
      <c r="I21" s="18" t="str">
        <f aca="false">IF($G21="","",SUMIFS(Sales!$C$2:$C$1001,Sales!$F$2:$F$1001,$G21))</f>
        <v/>
      </c>
      <c r="J21" s="17" t="str">
        <f aca="false">IF($G21="","",SUMIFS(Sales!$J$2:$J$1001,Sales!$F$2:$F$1001,$G21))</f>
        <v/>
      </c>
    </row>
    <row r="22" customFormat="false" ht="15" hidden="false" customHeight="false" outlineLevel="0" collapsed="false">
      <c r="B22" s="16" t="n">
        <f aca="false">DATE(YEAR($C$13),MONTH($C$13)+6,1)</f>
        <v>46204</v>
      </c>
      <c r="C22" s="17" t="n">
        <f aca="false">SUMIFS(Sales!$H$2:$H$1001,Sales!$K$2:$K$1001,$B22)</f>
        <v>293.28</v>
      </c>
      <c r="D22" s="18" t="n">
        <f aca="false">SUMIFS(Sales!$C$2:$C$1001,Sales!$K$2:$K$1001,$B22)</f>
        <v>32</v>
      </c>
      <c r="E22" s="17" t="n">
        <f aca="false">SUMIFS(Sales!$J$2:$J$1001,Sales!$K$2:$K$1001,$B22)</f>
        <v>157.18</v>
      </c>
      <c r="G22" s="19"/>
      <c r="H22" s="17" t="str">
        <f aca="false">IF($G22="","",SUMIFS(Sales!$H$2:$H$1001,Sales!$F$2:$F$1001,$G22))</f>
        <v/>
      </c>
      <c r="I22" s="18" t="str">
        <f aca="false">IF($G22="","",SUMIFS(Sales!$C$2:$C$1001,Sales!$F$2:$F$1001,$G22))</f>
        <v/>
      </c>
      <c r="J22" s="17" t="str">
        <f aca="false">IF($G22="","",SUMIFS(Sales!$J$2:$J$1001,Sales!$F$2:$F$1001,$G22))</f>
        <v/>
      </c>
    </row>
    <row r="23" customFormat="false" ht="15" hidden="false" customHeight="false" outlineLevel="0" collapsed="false">
      <c r="B23" s="16" t="n">
        <f aca="false">DATE(YEAR($C$13),MONTH($C$13)+7,1)</f>
        <v>46235</v>
      </c>
      <c r="C23" s="17" t="n">
        <f aca="false">SUMIFS(Sales!$H$2:$H$1001,Sales!$K$2:$K$1001,$B23)</f>
        <v>353.81</v>
      </c>
      <c r="D23" s="18" t="n">
        <f aca="false">SUMIFS(Sales!$C$2:$C$1001,Sales!$K$2:$K$1001,$B23)</f>
        <v>42</v>
      </c>
      <c r="E23" s="17" t="n">
        <f aca="false">SUMIFS(Sales!$J$2:$J$1001,Sales!$K$2:$K$1001,$B23)</f>
        <v>192.41</v>
      </c>
      <c r="G23" s="19"/>
      <c r="H23" s="17" t="str">
        <f aca="false">IF($G23="","",SUMIFS(Sales!$H$2:$H$1001,Sales!$F$2:$F$1001,$G23))</f>
        <v/>
      </c>
      <c r="I23" s="18" t="str">
        <f aca="false">IF($G23="","",SUMIFS(Sales!$C$2:$C$1001,Sales!$F$2:$F$1001,$G23))</f>
        <v/>
      </c>
      <c r="J23" s="17" t="str">
        <f aca="false">IF($G23="","",SUMIFS(Sales!$J$2:$J$1001,Sales!$F$2:$F$1001,$G23))</f>
        <v/>
      </c>
    </row>
    <row r="24" customFormat="false" ht="15" hidden="false" customHeight="false" outlineLevel="0" collapsed="false">
      <c r="B24" s="16" t="n">
        <f aca="false">DATE(YEAR($C$13),MONTH($C$13)+8,1)</f>
        <v>46266</v>
      </c>
      <c r="C24" s="17" t="n">
        <f aca="false">SUMIFS(Sales!$H$2:$H$1001,Sales!$K$2:$K$1001,$B24)</f>
        <v>334.415</v>
      </c>
      <c r="D24" s="18" t="n">
        <f aca="false">SUMIFS(Sales!$C$2:$C$1001,Sales!$K$2:$K$1001,$B24)</f>
        <v>35</v>
      </c>
      <c r="E24" s="17" t="n">
        <f aca="false">SUMIFS(Sales!$J$2:$J$1001,Sales!$K$2:$K$1001,$B24)</f>
        <v>179.315</v>
      </c>
    </row>
    <row r="25" customFormat="false" ht="15" hidden="false" customHeight="false" outlineLevel="0" collapsed="false">
      <c r="B25" s="16" t="n">
        <f aca="false">DATE(YEAR($C$13),MONTH($C$13)+9,1)</f>
        <v>46296</v>
      </c>
      <c r="C25" s="17" t="n">
        <f aca="false">SUMIFS(Sales!$H$2:$H$1001,Sales!$K$2:$K$1001,$B25)</f>
        <v>0</v>
      </c>
      <c r="D25" s="18" t="n">
        <f aca="false">SUMIFS(Sales!$C$2:$C$1001,Sales!$K$2:$K$1001,$B25)</f>
        <v>0</v>
      </c>
      <c r="E25" s="17" t="n">
        <f aca="false">SUMIFS(Sales!$J$2:$J$1001,Sales!$K$2:$K$1001,$B25)</f>
        <v>0</v>
      </c>
      <c r="G25" s="20" t="s">
        <v>31</v>
      </c>
    </row>
    <row r="26" customFormat="false" ht="15" hidden="false" customHeight="false" outlineLevel="0" collapsed="false">
      <c r="B26" s="16" t="n">
        <f aca="false">DATE(YEAR($C$13),MONTH($C$13)+10,1)</f>
        <v>46327</v>
      </c>
      <c r="C26" s="17" t="n">
        <f aca="false">SUMIFS(Sales!$H$2:$H$1001,Sales!$K$2:$K$1001,$B26)</f>
        <v>0</v>
      </c>
      <c r="D26" s="18" t="n">
        <f aca="false">SUMIFS(Sales!$C$2:$C$1001,Sales!$K$2:$K$1001,$B26)</f>
        <v>0</v>
      </c>
      <c r="E26" s="17" t="n">
        <f aca="false">SUMIFS(Sales!$J$2:$J$1001,Sales!$K$2:$K$1001,$B26)</f>
        <v>0</v>
      </c>
    </row>
    <row r="27" customFormat="false" ht="15" hidden="false" customHeight="false" outlineLevel="0" collapsed="false">
      <c r="B27" s="16" t="n">
        <f aca="false">DATE(YEAR($C$13),MONTH($C$13)+11,1)</f>
        <v>46357</v>
      </c>
      <c r="C27" s="17" t="n">
        <f aca="false">SUMIFS(Sales!$H$2:$H$1001,Sales!$K$2:$K$1001,$B27)</f>
        <v>0</v>
      </c>
      <c r="D27" s="18" t="n">
        <f aca="false">SUMIFS(Sales!$C$2:$C$1001,Sales!$K$2:$K$1001,$B27)</f>
        <v>0</v>
      </c>
      <c r="E27" s="17" t="n">
        <f aca="false">SUMIFS(Sales!$J$2:$J$1001,Sales!$K$2:$K$1001,$B27)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1"/>
  </cols>
  <sheetData>
    <row r="1" customFormat="false" ht="31.5" hidden="false" customHeight="true" outlineLevel="0" collapsed="false">
      <c r="A1" s="15" t="s">
        <v>32</v>
      </c>
      <c r="B1" s="15" t="s">
        <v>33</v>
      </c>
      <c r="C1" s="15" t="s">
        <v>26</v>
      </c>
      <c r="D1" s="15" t="s">
        <v>34</v>
      </c>
      <c r="E1" s="15" t="s">
        <v>35</v>
      </c>
      <c r="F1" s="15" t="s">
        <v>36</v>
      </c>
      <c r="G1" s="15" t="s">
        <v>37</v>
      </c>
      <c r="H1" s="15" t="s">
        <v>15</v>
      </c>
      <c r="I1" s="15" t="s">
        <v>38</v>
      </c>
      <c r="J1" s="15" t="s">
        <v>39</v>
      </c>
      <c r="K1" s="15" t="s">
        <v>24</v>
      </c>
      <c r="L1" s="15" t="s">
        <v>18</v>
      </c>
      <c r="M1" s="15" t="s">
        <v>19</v>
      </c>
    </row>
    <row r="2" customFormat="false" ht="15" hidden="false" customHeight="false" outlineLevel="0" collapsed="false">
      <c r="A2" s="19" t="s">
        <v>40</v>
      </c>
      <c r="B2" s="19" t="s">
        <v>41</v>
      </c>
      <c r="C2" s="19" t="s">
        <v>27</v>
      </c>
      <c r="D2" s="21" t="n">
        <v>9.5</v>
      </c>
      <c r="E2" s="21" t="n">
        <v>4.5</v>
      </c>
      <c r="F2" s="19" t="n">
        <v>120</v>
      </c>
      <c r="G2" s="19" t="n">
        <v>20</v>
      </c>
      <c r="H2" s="22" t="n">
        <f aca="false">IF($A2="","",SUMIFS(Sales!$C$2:$C$1001,Sales!$B$2:$B$1001,$A2))</f>
        <v>33</v>
      </c>
      <c r="I2" s="22" t="n">
        <f aca="false">IF($A2="","",F2-H2)</f>
        <v>87</v>
      </c>
      <c r="J2" s="23" t="str">
        <f aca="false">IF($A2="","",IF(I2&lt;=G2,"Reorder","OK"))</f>
        <v>OK</v>
      </c>
      <c r="K2" s="17" t="n">
        <f aca="false">IF($A2="","",SUMIFS(Sales!$H$2:$H$1001,Sales!$B$2:$B$1001,$A2))</f>
        <v>309.7</v>
      </c>
      <c r="L2" s="17" t="n">
        <f aca="false">IF($A2="","",SUMIFS(Sales!$J$2:$J$1001,Sales!$B$2:$B$1001,$A2))</f>
        <v>161.2</v>
      </c>
      <c r="M2" s="24" t="n">
        <f aca="false">IF($A2="","",IF(K2=0,0,L2/K2))</f>
        <v>0.520503713270907</v>
      </c>
    </row>
    <row r="3" customFormat="false" ht="15" hidden="false" customHeight="false" outlineLevel="0" collapsed="false">
      <c r="A3" s="19" t="s">
        <v>42</v>
      </c>
      <c r="B3" s="19" t="s">
        <v>43</v>
      </c>
      <c r="C3" s="19" t="s">
        <v>27</v>
      </c>
      <c r="D3" s="21" t="n">
        <v>16</v>
      </c>
      <c r="E3" s="21" t="n">
        <v>7.8</v>
      </c>
      <c r="F3" s="19" t="n">
        <v>90</v>
      </c>
      <c r="G3" s="19" t="n">
        <v>15</v>
      </c>
      <c r="H3" s="22" t="n">
        <f aca="false">IF($A3="","",SUMIFS(Sales!$C$2:$C$1001,Sales!$B$2:$B$1001,$A3))</f>
        <v>53</v>
      </c>
      <c r="I3" s="22" t="n">
        <f aca="false">IF($A3="","",F3-H3)</f>
        <v>37</v>
      </c>
      <c r="J3" s="23" t="str">
        <f aca="false">IF($A3="","",IF(I3&lt;=G3,"Reorder","OK"))</f>
        <v>OK</v>
      </c>
      <c r="K3" s="17" t="n">
        <f aca="false">IF($A3="","",SUMIFS(Sales!$H$2:$H$1001,Sales!$B$2:$B$1001,$A3))</f>
        <v>836.8</v>
      </c>
      <c r="L3" s="17" t="n">
        <f aca="false">IF($A3="","",SUMIFS(Sales!$J$2:$J$1001,Sales!$B$2:$B$1001,$A3))</f>
        <v>423.4</v>
      </c>
      <c r="M3" s="24" t="n">
        <f aca="false">IF($A3="","",IF(K3=0,0,L3/K3))</f>
        <v>0.505975143403442</v>
      </c>
    </row>
    <row r="4" customFormat="false" ht="15" hidden="false" customHeight="false" outlineLevel="0" collapsed="false">
      <c r="A4" s="19" t="s">
        <v>44</v>
      </c>
      <c r="B4" s="19" t="s">
        <v>45</v>
      </c>
      <c r="C4" s="19" t="s">
        <v>27</v>
      </c>
      <c r="D4" s="21" t="n">
        <v>14</v>
      </c>
      <c r="E4" s="21" t="n">
        <v>6.9</v>
      </c>
      <c r="F4" s="19" t="n">
        <v>60</v>
      </c>
      <c r="G4" s="19" t="n">
        <v>15</v>
      </c>
      <c r="H4" s="22" t="n">
        <f aca="false">IF($A4="","",SUMIFS(Sales!$C$2:$C$1001,Sales!$B$2:$B$1001,$A4))</f>
        <v>24</v>
      </c>
      <c r="I4" s="22" t="n">
        <f aca="false">IF($A4="","",F4-H4)</f>
        <v>36</v>
      </c>
      <c r="J4" s="23" t="str">
        <f aca="false">IF($A4="","",IF(I4&lt;=G4,"Reorder","OK"))</f>
        <v>OK</v>
      </c>
      <c r="K4" s="17" t="n">
        <f aca="false">IF($A4="","",SUMIFS(Sales!$H$2:$H$1001,Sales!$B$2:$B$1001,$A4))</f>
        <v>331.1</v>
      </c>
      <c r="L4" s="17" t="n">
        <f aca="false">IF($A4="","",SUMIFS(Sales!$J$2:$J$1001,Sales!$B$2:$B$1001,$A4))</f>
        <v>165.5</v>
      </c>
      <c r="M4" s="24" t="n">
        <f aca="false">IF($A4="","",IF(K4=0,0,L4/K4))</f>
        <v>0.499848988221081</v>
      </c>
    </row>
    <row r="5" customFormat="false" ht="15" hidden="false" customHeight="false" outlineLevel="0" collapsed="false">
      <c r="A5" s="19" t="s">
        <v>46</v>
      </c>
      <c r="B5" s="19" t="s">
        <v>47</v>
      </c>
      <c r="C5" s="19" t="s">
        <v>28</v>
      </c>
      <c r="D5" s="21" t="n">
        <v>5.5</v>
      </c>
      <c r="E5" s="21" t="n">
        <v>2.2</v>
      </c>
      <c r="F5" s="19" t="n">
        <v>70</v>
      </c>
      <c r="G5" s="19" t="n">
        <v>10</v>
      </c>
      <c r="H5" s="22" t="n">
        <f aca="false">IF($A5="","",SUMIFS(Sales!$C$2:$C$1001,Sales!$B$2:$B$1001,$A5))</f>
        <v>13</v>
      </c>
      <c r="I5" s="22" t="n">
        <f aca="false">IF($A5="","",F5-H5)</f>
        <v>57</v>
      </c>
      <c r="J5" s="23" t="str">
        <f aca="false">IF($A5="","",IF(I5&lt;=G5,"Reorder","OK"))</f>
        <v>OK</v>
      </c>
      <c r="K5" s="17" t="n">
        <f aca="false">IF($A5="","",SUMIFS(Sales!$H$2:$H$1001,Sales!$B$2:$B$1001,$A5))</f>
        <v>68.475</v>
      </c>
      <c r="L5" s="17" t="n">
        <f aca="false">IF($A5="","",SUMIFS(Sales!$J$2:$J$1001,Sales!$B$2:$B$1001,$A5))</f>
        <v>39.875</v>
      </c>
      <c r="M5" s="24" t="n">
        <f aca="false">IF($A5="","",IF(K5=0,0,L5/K5))</f>
        <v>0.582329317269076</v>
      </c>
    </row>
    <row r="6" customFormat="false" ht="15" hidden="false" customHeight="false" outlineLevel="0" collapsed="false">
      <c r="A6" s="19" t="s">
        <v>48</v>
      </c>
      <c r="B6" s="19" t="s">
        <v>49</v>
      </c>
      <c r="C6" s="19" t="s">
        <v>28</v>
      </c>
      <c r="D6" s="21" t="n">
        <v>6.5</v>
      </c>
      <c r="E6" s="21" t="n">
        <v>2.6</v>
      </c>
      <c r="F6" s="19" t="n">
        <v>30</v>
      </c>
      <c r="G6" s="19" t="n">
        <v>10</v>
      </c>
      <c r="H6" s="22" t="n">
        <f aca="false">IF($A6="","",SUMIFS(Sales!$C$2:$C$1001,Sales!$B$2:$B$1001,$A6))</f>
        <v>21</v>
      </c>
      <c r="I6" s="22" t="n">
        <f aca="false">IF($A6="","",F6-H6)</f>
        <v>9</v>
      </c>
      <c r="J6" s="23" t="str">
        <f aca="false">IF($A6="","",IF(I6&lt;=G6,"Reorder","OK"))</f>
        <v>Reorder</v>
      </c>
      <c r="K6" s="17" t="n">
        <f aca="false">IF($A6="","",SUMIFS(Sales!$H$2:$H$1001,Sales!$B$2:$B$1001,$A6))</f>
        <v>134.225</v>
      </c>
      <c r="L6" s="17" t="n">
        <f aca="false">IF($A6="","",SUMIFS(Sales!$J$2:$J$1001,Sales!$B$2:$B$1001,$A6))</f>
        <v>79.625</v>
      </c>
      <c r="M6" s="24" t="n">
        <f aca="false">IF($A6="","",IF(K6=0,0,L6/K6))</f>
        <v>0.593220338983051</v>
      </c>
    </row>
    <row r="7" customFormat="false" ht="15" hidden="false" customHeight="false" outlineLevel="0" collapsed="false">
      <c r="A7" s="19" t="s">
        <v>50</v>
      </c>
      <c r="B7" s="19" t="s">
        <v>51</v>
      </c>
      <c r="C7" s="19" t="s">
        <v>29</v>
      </c>
      <c r="D7" s="21" t="n">
        <v>10</v>
      </c>
      <c r="E7" s="21" t="n">
        <v>4</v>
      </c>
      <c r="F7" s="19" t="n">
        <v>50</v>
      </c>
      <c r="G7" s="19" t="n">
        <v>8</v>
      </c>
      <c r="H7" s="22" t="n">
        <f aca="false">IF($A7="","",SUMIFS(Sales!$C$2:$C$1001,Sales!$B$2:$B$1001,$A7))</f>
        <v>13</v>
      </c>
      <c r="I7" s="22" t="n">
        <f aca="false">IF($A7="","",F7-H7)</f>
        <v>37</v>
      </c>
      <c r="J7" s="23" t="str">
        <f aca="false">IF($A7="","",IF(I7&lt;=G7,"Reorder","OK"))</f>
        <v>OK</v>
      </c>
      <c r="K7" s="17" t="n">
        <f aca="false">IF($A7="","",SUMIFS(Sales!$H$2:$H$1001,Sales!$B$2:$B$1001,$A7))</f>
        <v>128</v>
      </c>
      <c r="L7" s="17" t="n">
        <f aca="false">IF($A7="","",SUMIFS(Sales!$J$2:$J$1001,Sales!$B$2:$B$1001,$A7))</f>
        <v>76</v>
      </c>
      <c r="M7" s="24" t="n">
        <f aca="false">IF($A7="","",IF(K7=0,0,L7/K7))</f>
        <v>0.59375</v>
      </c>
    </row>
    <row r="8" customFormat="false" ht="15" hidden="false" customHeight="false" outlineLevel="0" collapsed="false">
      <c r="A8" s="19" t="s">
        <v>52</v>
      </c>
      <c r="B8" s="19" t="s">
        <v>53</v>
      </c>
      <c r="C8" s="19" t="s">
        <v>29</v>
      </c>
      <c r="D8" s="21" t="n">
        <v>19</v>
      </c>
      <c r="E8" s="21" t="n">
        <v>9</v>
      </c>
      <c r="F8" s="19" t="n">
        <v>35</v>
      </c>
      <c r="G8" s="19" t="n">
        <v>6</v>
      </c>
      <c r="H8" s="22" t="n">
        <f aca="false">IF($A8="","",SUMIFS(Sales!$C$2:$C$1001,Sales!$B$2:$B$1001,$A8))</f>
        <v>5</v>
      </c>
      <c r="I8" s="22" t="n">
        <f aca="false">IF($A8="","",F8-H8)</f>
        <v>30</v>
      </c>
      <c r="J8" s="23" t="str">
        <f aca="false">IF($A8="","",IF(I8&lt;=G8,"Reorder","OK"))</f>
        <v>OK</v>
      </c>
      <c r="K8" s="17" t="n">
        <f aca="false">IF($A8="","",SUMIFS(Sales!$H$2:$H$1001,Sales!$B$2:$B$1001,$A8))</f>
        <v>95</v>
      </c>
      <c r="L8" s="17" t="n">
        <f aca="false">IF($A8="","",SUMIFS(Sales!$J$2:$J$1001,Sales!$B$2:$B$1001,$A8))</f>
        <v>50</v>
      </c>
      <c r="M8" s="24" t="n">
        <f aca="false">IF($A8="","",IF(K8=0,0,L8/K8))</f>
        <v>0.526315789473684</v>
      </c>
    </row>
    <row r="9" customFormat="false" ht="15" hidden="false" customHeight="false" outlineLevel="0" collapsed="false">
      <c r="A9" s="19" t="s">
        <v>54</v>
      </c>
      <c r="B9" s="19" t="s">
        <v>55</v>
      </c>
      <c r="C9" s="19" t="s">
        <v>29</v>
      </c>
      <c r="D9" s="21" t="n">
        <v>4.5</v>
      </c>
      <c r="E9" s="21" t="n">
        <v>1.7</v>
      </c>
      <c r="F9" s="19" t="n">
        <v>80</v>
      </c>
      <c r="G9" s="19" t="n">
        <v>15</v>
      </c>
      <c r="H9" s="22" t="n">
        <f aca="false">IF($A9="","",SUMIFS(Sales!$C$2:$C$1001,Sales!$B$2:$B$1001,$A9))</f>
        <v>31</v>
      </c>
      <c r="I9" s="22" t="n">
        <f aca="false">IF($A9="","",F9-H9)</f>
        <v>49</v>
      </c>
      <c r="J9" s="23" t="str">
        <f aca="false">IF($A9="","",IF(I9&lt;=G9,"Reorder","OK"))</f>
        <v>OK</v>
      </c>
      <c r="K9" s="17" t="n">
        <f aca="false">IF($A9="","",SUMIFS(Sales!$H$2:$H$1001,Sales!$B$2:$B$1001,$A9))</f>
        <v>135</v>
      </c>
      <c r="L9" s="17" t="n">
        <f aca="false">IF($A9="","",SUMIFS(Sales!$J$2:$J$1001,Sales!$B$2:$B$1001,$A9))</f>
        <v>82.3</v>
      </c>
      <c r="M9" s="24" t="n">
        <f aca="false">IF($A9="","",IF(K9=0,0,L9/K9))</f>
        <v>0.60962962962963</v>
      </c>
    </row>
    <row r="10" customFormat="false" ht="15" hidden="false" customHeight="false" outlineLevel="0" collapsed="false">
      <c r="A10" s="19" t="s">
        <v>56</v>
      </c>
      <c r="B10" s="19" t="s">
        <v>57</v>
      </c>
      <c r="C10" s="19" t="s">
        <v>29</v>
      </c>
      <c r="D10" s="21" t="n">
        <v>25</v>
      </c>
      <c r="E10" s="21" t="n">
        <v>12.5</v>
      </c>
      <c r="F10" s="19" t="n">
        <v>12</v>
      </c>
      <c r="G10" s="19" t="n">
        <v>5</v>
      </c>
      <c r="H10" s="22" t="n">
        <f aca="false">IF($A10="","",SUMIFS(Sales!$C$2:$C$1001,Sales!$B$2:$B$1001,$A10))</f>
        <v>8</v>
      </c>
      <c r="I10" s="22" t="n">
        <f aca="false">IF($A10="","",F10-H10)</f>
        <v>4</v>
      </c>
      <c r="J10" s="23" t="str">
        <f aca="false">IF($A10="","",IF(I10&lt;=G10,"Reorder","OK"))</f>
        <v>Reorder</v>
      </c>
      <c r="K10" s="17" t="n">
        <f aca="false">IF($A10="","",SUMIFS(Sales!$H$2:$H$1001,Sales!$B$2:$B$1001,$A10))</f>
        <v>196.25</v>
      </c>
      <c r="L10" s="17" t="n">
        <f aca="false">IF($A10="","",SUMIFS(Sales!$J$2:$J$1001,Sales!$B$2:$B$1001,$A10))</f>
        <v>96.25</v>
      </c>
      <c r="M10" s="24" t="n">
        <f aca="false">IF($A10="","",IF(K10=0,0,L10/K10))</f>
        <v>0.490445859872611</v>
      </c>
    </row>
    <row r="11" customFormat="false" ht="15" hidden="false" customHeight="false" outlineLevel="0" collapsed="false">
      <c r="A11" s="19" t="s">
        <v>58</v>
      </c>
      <c r="B11" s="19" t="s">
        <v>59</v>
      </c>
      <c r="C11" s="19" t="s">
        <v>30</v>
      </c>
      <c r="D11" s="21" t="n">
        <v>3.8</v>
      </c>
      <c r="E11" s="21" t="n">
        <v>1.4</v>
      </c>
      <c r="F11" s="19" t="n">
        <v>100</v>
      </c>
      <c r="G11" s="19" t="n">
        <v>20</v>
      </c>
      <c r="H11" s="22" t="n">
        <f aca="false">IF($A11="","",SUMIFS(Sales!$C$2:$C$1001,Sales!$B$2:$B$1001,$A11))</f>
        <v>28</v>
      </c>
      <c r="I11" s="22" t="n">
        <f aca="false">IF($A11="","",F11-H11)</f>
        <v>72</v>
      </c>
      <c r="J11" s="23" t="str">
        <f aca="false">IF($A11="","",IF(I11&lt;=G11,"Reorder","OK"))</f>
        <v>OK</v>
      </c>
      <c r="K11" s="17" t="n">
        <f aca="false">IF($A11="","",SUMIFS(Sales!$H$2:$H$1001,Sales!$B$2:$B$1001,$A11))</f>
        <v>102.03</v>
      </c>
      <c r="L11" s="17" t="n">
        <f aca="false">IF($A11="","",SUMIFS(Sales!$J$2:$J$1001,Sales!$B$2:$B$1001,$A11))</f>
        <v>62.83</v>
      </c>
      <c r="M11" s="24" t="n">
        <f aca="false">IF($A11="","",IF(K11=0,0,L11/K11))</f>
        <v>0.615799274723121</v>
      </c>
    </row>
    <row r="12" customFormat="false" ht="15" hidden="false" customHeight="false" outlineLevel="0" collapsed="false">
      <c r="A12" s="19" t="s">
        <v>60</v>
      </c>
      <c r="B12" s="19" t="s">
        <v>61</v>
      </c>
      <c r="C12" s="19" t="s">
        <v>30</v>
      </c>
      <c r="D12" s="21" t="n">
        <v>3.2</v>
      </c>
      <c r="E12" s="21" t="n">
        <v>1.3</v>
      </c>
      <c r="F12" s="19" t="n">
        <v>90</v>
      </c>
      <c r="G12" s="19" t="n">
        <v>20</v>
      </c>
      <c r="H12" s="22" t="n">
        <f aca="false">IF($A12="","",SUMIFS(Sales!$C$2:$C$1001,Sales!$B$2:$B$1001,$A12))</f>
        <v>14</v>
      </c>
      <c r="I12" s="22" t="n">
        <f aca="false">IF($A12="","",F12-H12)</f>
        <v>76</v>
      </c>
      <c r="J12" s="23" t="str">
        <f aca="false">IF($A12="","",IF(I12&lt;=G12,"Reorder","OK"))</f>
        <v>OK</v>
      </c>
      <c r="K12" s="17" t="n">
        <f aca="false">IF($A12="","",SUMIFS(Sales!$H$2:$H$1001,Sales!$B$2:$B$1001,$A12))</f>
        <v>44.48</v>
      </c>
      <c r="L12" s="17" t="n">
        <f aca="false">IF($A12="","",SUMIFS(Sales!$J$2:$J$1001,Sales!$B$2:$B$1001,$A12))</f>
        <v>26.28</v>
      </c>
      <c r="M12" s="24" t="n">
        <f aca="false">IF($A12="","",IF(K12=0,0,L12/K12))</f>
        <v>0.590827338129496</v>
      </c>
    </row>
    <row r="13" customFormat="false" ht="15" hidden="false" customHeight="false" outlineLevel="0" collapsed="false">
      <c r="A13" s="19" t="s">
        <v>62</v>
      </c>
      <c r="B13" s="19" t="s">
        <v>63</v>
      </c>
      <c r="C13" s="19" t="s">
        <v>30</v>
      </c>
      <c r="D13" s="21" t="n">
        <v>7</v>
      </c>
      <c r="E13" s="21" t="n">
        <v>2.9</v>
      </c>
      <c r="F13" s="19" t="n">
        <v>40</v>
      </c>
      <c r="G13" s="19" t="n">
        <v>10</v>
      </c>
      <c r="H13" s="22" t="n">
        <f aca="false">IF($A13="","",SUMIFS(Sales!$C$2:$C$1001,Sales!$B$2:$B$1001,$A13))</f>
        <v>12</v>
      </c>
      <c r="I13" s="22" t="n">
        <f aca="false">IF($A13="","",F13-H13)</f>
        <v>28</v>
      </c>
      <c r="J13" s="23" t="str">
        <f aca="false">IF($A13="","",IF(I13&lt;=G13,"Reorder","OK"))</f>
        <v>OK</v>
      </c>
      <c r="K13" s="17" t="n">
        <f aca="false">IF($A13="","",SUMIFS(Sales!$H$2:$H$1001,Sales!$B$2:$B$1001,$A13))</f>
        <v>82.25</v>
      </c>
      <c r="L13" s="17" t="n">
        <f aca="false">IF($A13="","",SUMIFS(Sales!$J$2:$J$1001,Sales!$B$2:$B$1001,$A13))</f>
        <v>47.45</v>
      </c>
      <c r="M13" s="24" t="n">
        <f aca="false">IF($A13="","",IF(K13=0,0,L13/K13))</f>
        <v>0.576899696048632</v>
      </c>
    </row>
    <row r="14" customFormat="false" ht="15" hidden="false" customHeight="false" outlineLevel="0" collapsed="false">
      <c r="A14" s="19"/>
      <c r="B14" s="19"/>
      <c r="C14" s="19"/>
      <c r="D14" s="21"/>
      <c r="E14" s="21"/>
      <c r="F14" s="19"/>
      <c r="G14" s="19"/>
      <c r="H14" s="22" t="str">
        <f aca="false">IF($A14="","",SUMIFS(Sales!$C$2:$C$1001,Sales!$B$2:$B$1001,$A14))</f>
        <v/>
      </c>
      <c r="I14" s="22" t="str">
        <f aca="false">IF($A14="","",F14-H14)</f>
        <v/>
      </c>
      <c r="J14" s="23" t="str">
        <f aca="false">IF($A14="","",IF(I14&lt;=G14,"Reorder","OK"))</f>
        <v/>
      </c>
      <c r="K14" s="17" t="str">
        <f aca="false">IF($A14="","",SUMIFS(Sales!$H$2:$H$1001,Sales!$B$2:$B$1001,$A14))</f>
        <v/>
      </c>
      <c r="L14" s="17" t="str">
        <f aca="false">IF($A14="","",SUMIFS(Sales!$J$2:$J$1001,Sales!$B$2:$B$1001,$A14))</f>
        <v/>
      </c>
      <c r="M14" s="24" t="str">
        <f aca="false">IF($A14="","",IF(K14=0,0,L14/K14))</f>
        <v/>
      </c>
    </row>
    <row r="15" customFormat="false" ht="15" hidden="false" customHeight="false" outlineLevel="0" collapsed="false">
      <c r="A15" s="19"/>
      <c r="B15" s="19"/>
      <c r="C15" s="19"/>
      <c r="D15" s="21"/>
      <c r="E15" s="21"/>
      <c r="F15" s="19"/>
      <c r="G15" s="19"/>
      <c r="H15" s="22" t="str">
        <f aca="false">IF($A15="","",SUMIFS(Sales!$C$2:$C$1001,Sales!$B$2:$B$1001,$A15))</f>
        <v/>
      </c>
      <c r="I15" s="22" t="str">
        <f aca="false">IF($A15="","",F15-H15)</f>
        <v/>
      </c>
      <c r="J15" s="23" t="str">
        <f aca="false">IF($A15="","",IF(I15&lt;=G15,"Reorder","OK"))</f>
        <v/>
      </c>
      <c r="K15" s="17" t="str">
        <f aca="false">IF($A15="","",SUMIFS(Sales!$H$2:$H$1001,Sales!$B$2:$B$1001,$A15))</f>
        <v/>
      </c>
      <c r="L15" s="17" t="str">
        <f aca="false">IF($A15="","",SUMIFS(Sales!$J$2:$J$1001,Sales!$B$2:$B$1001,$A15))</f>
        <v/>
      </c>
      <c r="M15" s="24" t="str">
        <f aca="false">IF($A15="","",IF(K15=0,0,L15/K15))</f>
        <v/>
      </c>
    </row>
    <row r="16" customFormat="false" ht="15" hidden="false" customHeight="false" outlineLevel="0" collapsed="false">
      <c r="A16" s="19"/>
      <c r="B16" s="19"/>
      <c r="C16" s="19"/>
      <c r="D16" s="21"/>
      <c r="E16" s="21"/>
      <c r="F16" s="19"/>
      <c r="G16" s="19"/>
      <c r="H16" s="22" t="str">
        <f aca="false">IF($A16="","",SUMIFS(Sales!$C$2:$C$1001,Sales!$B$2:$B$1001,$A16))</f>
        <v/>
      </c>
      <c r="I16" s="22" t="str">
        <f aca="false">IF($A16="","",F16-H16)</f>
        <v/>
      </c>
      <c r="J16" s="23" t="str">
        <f aca="false">IF($A16="","",IF(I16&lt;=G16,"Reorder","OK"))</f>
        <v/>
      </c>
      <c r="K16" s="17" t="str">
        <f aca="false">IF($A16="","",SUMIFS(Sales!$H$2:$H$1001,Sales!$B$2:$B$1001,$A16))</f>
        <v/>
      </c>
      <c r="L16" s="17" t="str">
        <f aca="false">IF($A16="","",SUMIFS(Sales!$J$2:$J$1001,Sales!$B$2:$B$1001,$A16))</f>
        <v/>
      </c>
      <c r="M16" s="24" t="str">
        <f aca="false">IF($A16="","",IF(K16=0,0,L16/K16))</f>
        <v/>
      </c>
    </row>
    <row r="17" customFormat="false" ht="15" hidden="false" customHeight="false" outlineLevel="0" collapsed="false">
      <c r="A17" s="19"/>
      <c r="B17" s="19"/>
      <c r="C17" s="19"/>
      <c r="D17" s="21"/>
      <c r="E17" s="21"/>
      <c r="F17" s="19"/>
      <c r="G17" s="19"/>
      <c r="H17" s="22" t="str">
        <f aca="false">IF($A17="","",SUMIFS(Sales!$C$2:$C$1001,Sales!$B$2:$B$1001,$A17))</f>
        <v/>
      </c>
      <c r="I17" s="22" t="str">
        <f aca="false">IF($A17="","",F17-H17)</f>
        <v/>
      </c>
      <c r="J17" s="23" t="str">
        <f aca="false">IF($A17="","",IF(I17&lt;=G17,"Reorder","OK"))</f>
        <v/>
      </c>
      <c r="K17" s="17" t="str">
        <f aca="false">IF($A17="","",SUMIFS(Sales!$H$2:$H$1001,Sales!$B$2:$B$1001,$A17))</f>
        <v/>
      </c>
      <c r="L17" s="17" t="str">
        <f aca="false">IF($A17="","",SUMIFS(Sales!$J$2:$J$1001,Sales!$B$2:$B$1001,$A17))</f>
        <v/>
      </c>
      <c r="M17" s="24" t="str">
        <f aca="false">IF($A17="","",IF(K17=0,0,L17/K17))</f>
        <v/>
      </c>
    </row>
    <row r="18" customFormat="false" ht="15" hidden="false" customHeight="false" outlineLevel="0" collapsed="false">
      <c r="A18" s="19"/>
      <c r="B18" s="19"/>
      <c r="C18" s="19"/>
      <c r="D18" s="21"/>
      <c r="E18" s="21"/>
      <c r="F18" s="19"/>
      <c r="G18" s="19"/>
      <c r="H18" s="22" t="str">
        <f aca="false">IF($A18="","",SUMIFS(Sales!$C$2:$C$1001,Sales!$B$2:$B$1001,$A18))</f>
        <v/>
      </c>
      <c r="I18" s="22" t="str">
        <f aca="false">IF($A18="","",F18-H18)</f>
        <v/>
      </c>
      <c r="J18" s="23" t="str">
        <f aca="false">IF($A18="","",IF(I18&lt;=G18,"Reorder","OK"))</f>
        <v/>
      </c>
      <c r="K18" s="17" t="str">
        <f aca="false">IF($A18="","",SUMIFS(Sales!$H$2:$H$1001,Sales!$B$2:$B$1001,$A18))</f>
        <v/>
      </c>
      <c r="L18" s="17" t="str">
        <f aca="false">IF($A18="","",SUMIFS(Sales!$J$2:$J$1001,Sales!$B$2:$B$1001,$A18))</f>
        <v/>
      </c>
      <c r="M18" s="24" t="str">
        <f aca="false">IF($A18="","",IF(K18=0,0,L18/K18))</f>
        <v/>
      </c>
    </row>
    <row r="19" customFormat="false" ht="15" hidden="false" customHeight="false" outlineLevel="0" collapsed="false">
      <c r="A19" s="19"/>
      <c r="B19" s="19"/>
      <c r="C19" s="19"/>
      <c r="D19" s="21"/>
      <c r="E19" s="21"/>
      <c r="F19" s="19"/>
      <c r="G19" s="19"/>
      <c r="H19" s="22" t="str">
        <f aca="false">IF($A19="","",SUMIFS(Sales!$C$2:$C$1001,Sales!$B$2:$B$1001,$A19))</f>
        <v/>
      </c>
      <c r="I19" s="22" t="str">
        <f aca="false">IF($A19="","",F19-H19)</f>
        <v/>
      </c>
      <c r="J19" s="23" t="str">
        <f aca="false">IF($A19="","",IF(I19&lt;=G19,"Reorder","OK"))</f>
        <v/>
      </c>
      <c r="K19" s="17" t="str">
        <f aca="false">IF($A19="","",SUMIFS(Sales!$H$2:$H$1001,Sales!$B$2:$B$1001,$A19))</f>
        <v/>
      </c>
      <c r="L19" s="17" t="str">
        <f aca="false">IF($A19="","",SUMIFS(Sales!$J$2:$J$1001,Sales!$B$2:$B$1001,$A19))</f>
        <v/>
      </c>
      <c r="M19" s="24" t="str">
        <f aca="false">IF($A19="","",IF(K19=0,0,L19/K19))</f>
        <v/>
      </c>
    </row>
    <row r="20" customFormat="false" ht="15" hidden="false" customHeight="false" outlineLevel="0" collapsed="false">
      <c r="A20" s="19"/>
      <c r="B20" s="19"/>
      <c r="C20" s="19"/>
      <c r="D20" s="21"/>
      <c r="E20" s="21"/>
      <c r="F20" s="19"/>
      <c r="G20" s="19"/>
      <c r="H20" s="22" t="str">
        <f aca="false">IF($A20="","",SUMIFS(Sales!$C$2:$C$1001,Sales!$B$2:$B$1001,$A20))</f>
        <v/>
      </c>
      <c r="I20" s="22" t="str">
        <f aca="false">IF($A20="","",F20-H20)</f>
        <v/>
      </c>
      <c r="J20" s="23" t="str">
        <f aca="false">IF($A20="","",IF(I20&lt;=G20,"Reorder","OK"))</f>
        <v/>
      </c>
      <c r="K20" s="17" t="str">
        <f aca="false">IF($A20="","",SUMIFS(Sales!$H$2:$H$1001,Sales!$B$2:$B$1001,$A20))</f>
        <v/>
      </c>
      <c r="L20" s="17" t="str">
        <f aca="false">IF($A20="","",SUMIFS(Sales!$J$2:$J$1001,Sales!$B$2:$B$1001,$A20))</f>
        <v/>
      </c>
      <c r="M20" s="24" t="str">
        <f aca="false">IF($A20="","",IF(K20=0,0,L20/K20))</f>
        <v/>
      </c>
    </row>
    <row r="21" customFormat="false" ht="15" hidden="false" customHeight="false" outlineLevel="0" collapsed="false">
      <c r="A21" s="19"/>
      <c r="B21" s="19"/>
      <c r="C21" s="19"/>
      <c r="D21" s="21"/>
      <c r="E21" s="21"/>
      <c r="F21" s="19"/>
      <c r="G21" s="19"/>
      <c r="H21" s="22" t="str">
        <f aca="false">IF($A21="","",SUMIFS(Sales!$C$2:$C$1001,Sales!$B$2:$B$1001,$A21))</f>
        <v/>
      </c>
      <c r="I21" s="22" t="str">
        <f aca="false">IF($A21="","",F21-H21)</f>
        <v/>
      </c>
      <c r="J21" s="23" t="str">
        <f aca="false">IF($A21="","",IF(I21&lt;=G21,"Reorder","OK"))</f>
        <v/>
      </c>
      <c r="K21" s="17" t="str">
        <f aca="false">IF($A21="","",SUMIFS(Sales!$H$2:$H$1001,Sales!$B$2:$B$1001,$A21))</f>
        <v/>
      </c>
      <c r="L21" s="17" t="str">
        <f aca="false">IF($A21="","",SUMIFS(Sales!$J$2:$J$1001,Sales!$B$2:$B$1001,$A21))</f>
        <v/>
      </c>
      <c r="M21" s="24" t="str">
        <f aca="false">IF($A21="","",IF(K21=0,0,L21/K21))</f>
        <v/>
      </c>
    </row>
    <row r="22" customFormat="false" ht="15" hidden="false" customHeight="false" outlineLevel="0" collapsed="false">
      <c r="A22" s="19"/>
      <c r="B22" s="19"/>
      <c r="C22" s="19"/>
      <c r="D22" s="21"/>
      <c r="E22" s="21"/>
      <c r="F22" s="19"/>
      <c r="G22" s="19"/>
      <c r="H22" s="22" t="str">
        <f aca="false">IF($A22="","",SUMIFS(Sales!$C$2:$C$1001,Sales!$B$2:$B$1001,$A22))</f>
        <v/>
      </c>
      <c r="I22" s="22" t="str">
        <f aca="false">IF($A22="","",F22-H22)</f>
        <v/>
      </c>
      <c r="J22" s="23" t="str">
        <f aca="false">IF($A22="","",IF(I22&lt;=G22,"Reorder","OK"))</f>
        <v/>
      </c>
      <c r="K22" s="17" t="str">
        <f aca="false">IF($A22="","",SUMIFS(Sales!$H$2:$H$1001,Sales!$B$2:$B$1001,$A22))</f>
        <v/>
      </c>
      <c r="L22" s="17" t="str">
        <f aca="false">IF($A22="","",SUMIFS(Sales!$J$2:$J$1001,Sales!$B$2:$B$1001,$A22))</f>
        <v/>
      </c>
      <c r="M22" s="24" t="str">
        <f aca="false">IF($A22="","",IF(K22=0,0,L22/K22))</f>
        <v/>
      </c>
    </row>
    <row r="23" customFormat="false" ht="15" hidden="false" customHeight="false" outlineLevel="0" collapsed="false">
      <c r="A23" s="19"/>
      <c r="B23" s="19"/>
      <c r="C23" s="19"/>
      <c r="D23" s="21"/>
      <c r="E23" s="21"/>
      <c r="F23" s="19"/>
      <c r="G23" s="19"/>
      <c r="H23" s="22" t="str">
        <f aca="false">IF($A23="","",SUMIFS(Sales!$C$2:$C$1001,Sales!$B$2:$B$1001,$A23))</f>
        <v/>
      </c>
      <c r="I23" s="22" t="str">
        <f aca="false">IF($A23="","",F23-H23)</f>
        <v/>
      </c>
      <c r="J23" s="23" t="str">
        <f aca="false">IF($A23="","",IF(I23&lt;=G23,"Reorder","OK"))</f>
        <v/>
      </c>
      <c r="K23" s="17" t="str">
        <f aca="false">IF($A23="","",SUMIFS(Sales!$H$2:$H$1001,Sales!$B$2:$B$1001,$A23))</f>
        <v/>
      </c>
      <c r="L23" s="17" t="str">
        <f aca="false">IF($A23="","",SUMIFS(Sales!$J$2:$J$1001,Sales!$B$2:$B$1001,$A23))</f>
        <v/>
      </c>
      <c r="M23" s="24" t="str">
        <f aca="false">IF($A23="","",IF(K23=0,0,L23/K23))</f>
        <v/>
      </c>
    </row>
    <row r="24" customFormat="false" ht="15" hidden="false" customHeight="false" outlineLevel="0" collapsed="false">
      <c r="A24" s="19"/>
      <c r="B24" s="19"/>
      <c r="C24" s="19"/>
      <c r="D24" s="21"/>
      <c r="E24" s="21"/>
      <c r="F24" s="19"/>
      <c r="G24" s="19"/>
      <c r="H24" s="22" t="str">
        <f aca="false">IF($A24="","",SUMIFS(Sales!$C$2:$C$1001,Sales!$B$2:$B$1001,$A24))</f>
        <v/>
      </c>
      <c r="I24" s="22" t="str">
        <f aca="false">IF($A24="","",F24-H24)</f>
        <v/>
      </c>
      <c r="J24" s="23" t="str">
        <f aca="false">IF($A24="","",IF(I24&lt;=G24,"Reorder","OK"))</f>
        <v/>
      </c>
      <c r="K24" s="17" t="str">
        <f aca="false">IF($A24="","",SUMIFS(Sales!$H$2:$H$1001,Sales!$B$2:$B$1001,$A24))</f>
        <v/>
      </c>
      <c r="L24" s="17" t="str">
        <f aca="false">IF($A24="","",SUMIFS(Sales!$J$2:$J$1001,Sales!$B$2:$B$1001,$A24))</f>
        <v/>
      </c>
      <c r="M24" s="24" t="str">
        <f aca="false">IF($A24="","",IF(K24=0,0,L24/K24))</f>
        <v/>
      </c>
    </row>
    <row r="25" customFormat="false" ht="15" hidden="false" customHeight="false" outlineLevel="0" collapsed="false">
      <c r="A25" s="19"/>
      <c r="B25" s="19"/>
      <c r="C25" s="19"/>
      <c r="D25" s="21"/>
      <c r="E25" s="21"/>
      <c r="F25" s="19"/>
      <c r="G25" s="19"/>
      <c r="H25" s="22" t="str">
        <f aca="false">IF($A25="","",SUMIFS(Sales!$C$2:$C$1001,Sales!$B$2:$B$1001,$A25))</f>
        <v/>
      </c>
      <c r="I25" s="22" t="str">
        <f aca="false">IF($A25="","",F25-H25)</f>
        <v/>
      </c>
      <c r="J25" s="23" t="str">
        <f aca="false">IF($A25="","",IF(I25&lt;=G25,"Reorder","OK"))</f>
        <v/>
      </c>
      <c r="K25" s="17" t="str">
        <f aca="false">IF($A25="","",SUMIFS(Sales!$H$2:$H$1001,Sales!$B$2:$B$1001,$A25))</f>
        <v/>
      </c>
      <c r="L25" s="17" t="str">
        <f aca="false">IF($A25="","",SUMIFS(Sales!$J$2:$J$1001,Sales!$B$2:$B$1001,$A25))</f>
        <v/>
      </c>
      <c r="M25" s="24" t="str">
        <f aca="false">IF($A25="","",IF(K25=0,0,L25/K25))</f>
        <v/>
      </c>
    </row>
    <row r="26" customFormat="false" ht="15" hidden="false" customHeight="false" outlineLevel="0" collapsed="false">
      <c r="A26" s="19"/>
      <c r="B26" s="19"/>
      <c r="C26" s="19"/>
      <c r="D26" s="21"/>
      <c r="E26" s="21"/>
      <c r="F26" s="19"/>
      <c r="G26" s="19"/>
      <c r="H26" s="22" t="str">
        <f aca="false">IF($A26="","",SUMIFS(Sales!$C$2:$C$1001,Sales!$B$2:$B$1001,$A26))</f>
        <v/>
      </c>
      <c r="I26" s="22" t="str">
        <f aca="false">IF($A26="","",F26-H26)</f>
        <v/>
      </c>
      <c r="J26" s="23" t="str">
        <f aca="false">IF($A26="","",IF(I26&lt;=G26,"Reorder","OK"))</f>
        <v/>
      </c>
      <c r="K26" s="17" t="str">
        <f aca="false">IF($A26="","",SUMIFS(Sales!$H$2:$H$1001,Sales!$B$2:$B$1001,$A26))</f>
        <v/>
      </c>
      <c r="L26" s="17" t="str">
        <f aca="false">IF($A26="","",SUMIFS(Sales!$J$2:$J$1001,Sales!$B$2:$B$1001,$A26))</f>
        <v/>
      </c>
      <c r="M26" s="24" t="str">
        <f aca="false">IF($A26="","",IF(K26=0,0,L26/K26))</f>
        <v/>
      </c>
    </row>
    <row r="27" customFormat="false" ht="15" hidden="false" customHeight="false" outlineLevel="0" collapsed="false">
      <c r="A27" s="19"/>
      <c r="B27" s="19"/>
      <c r="C27" s="19"/>
      <c r="D27" s="21"/>
      <c r="E27" s="21"/>
      <c r="F27" s="19"/>
      <c r="G27" s="19"/>
      <c r="H27" s="22" t="str">
        <f aca="false">IF($A27="","",SUMIFS(Sales!$C$2:$C$1001,Sales!$B$2:$B$1001,$A27))</f>
        <v/>
      </c>
      <c r="I27" s="22" t="str">
        <f aca="false">IF($A27="","",F27-H27)</f>
        <v/>
      </c>
      <c r="J27" s="23" t="str">
        <f aca="false">IF($A27="","",IF(I27&lt;=G27,"Reorder","OK"))</f>
        <v/>
      </c>
      <c r="K27" s="17" t="str">
        <f aca="false">IF($A27="","",SUMIFS(Sales!$H$2:$H$1001,Sales!$B$2:$B$1001,$A27))</f>
        <v/>
      </c>
      <c r="L27" s="17" t="str">
        <f aca="false">IF($A27="","",SUMIFS(Sales!$J$2:$J$1001,Sales!$B$2:$B$1001,$A27))</f>
        <v/>
      </c>
      <c r="M27" s="24" t="str">
        <f aca="false">IF($A27="","",IF(K27=0,0,L27/K27))</f>
        <v/>
      </c>
    </row>
    <row r="28" customFormat="false" ht="15" hidden="false" customHeight="false" outlineLevel="0" collapsed="false">
      <c r="A28" s="19"/>
      <c r="B28" s="19"/>
      <c r="C28" s="19"/>
      <c r="D28" s="21"/>
      <c r="E28" s="21"/>
      <c r="F28" s="19"/>
      <c r="G28" s="19"/>
      <c r="H28" s="22" t="str">
        <f aca="false">IF($A28="","",SUMIFS(Sales!$C$2:$C$1001,Sales!$B$2:$B$1001,$A28))</f>
        <v/>
      </c>
      <c r="I28" s="22" t="str">
        <f aca="false">IF($A28="","",F28-H28)</f>
        <v/>
      </c>
      <c r="J28" s="23" t="str">
        <f aca="false">IF($A28="","",IF(I28&lt;=G28,"Reorder","OK"))</f>
        <v/>
      </c>
      <c r="K28" s="17" t="str">
        <f aca="false">IF($A28="","",SUMIFS(Sales!$H$2:$H$1001,Sales!$B$2:$B$1001,$A28))</f>
        <v/>
      </c>
      <c r="L28" s="17" t="str">
        <f aca="false">IF($A28="","",SUMIFS(Sales!$J$2:$J$1001,Sales!$B$2:$B$1001,$A28))</f>
        <v/>
      </c>
      <c r="M28" s="24" t="str">
        <f aca="false">IF($A28="","",IF(K28=0,0,L28/K28))</f>
        <v/>
      </c>
    </row>
    <row r="29" customFormat="false" ht="15" hidden="false" customHeight="false" outlineLevel="0" collapsed="false">
      <c r="A29" s="19"/>
      <c r="B29" s="19"/>
      <c r="C29" s="19"/>
      <c r="D29" s="21"/>
      <c r="E29" s="21"/>
      <c r="F29" s="19"/>
      <c r="G29" s="19"/>
      <c r="H29" s="22" t="str">
        <f aca="false">IF($A29="","",SUMIFS(Sales!$C$2:$C$1001,Sales!$B$2:$B$1001,$A29))</f>
        <v/>
      </c>
      <c r="I29" s="22" t="str">
        <f aca="false">IF($A29="","",F29-H29)</f>
        <v/>
      </c>
      <c r="J29" s="23" t="str">
        <f aca="false">IF($A29="","",IF(I29&lt;=G29,"Reorder","OK"))</f>
        <v/>
      </c>
      <c r="K29" s="17" t="str">
        <f aca="false">IF($A29="","",SUMIFS(Sales!$H$2:$H$1001,Sales!$B$2:$B$1001,$A29))</f>
        <v/>
      </c>
      <c r="L29" s="17" t="str">
        <f aca="false">IF($A29="","",SUMIFS(Sales!$J$2:$J$1001,Sales!$B$2:$B$1001,$A29))</f>
        <v/>
      </c>
      <c r="M29" s="24" t="str">
        <f aca="false">IF($A29="","",IF(K29=0,0,L29/K29))</f>
        <v/>
      </c>
    </row>
    <row r="30" customFormat="false" ht="15" hidden="false" customHeight="false" outlineLevel="0" collapsed="false">
      <c r="A30" s="19"/>
      <c r="B30" s="19"/>
      <c r="C30" s="19"/>
      <c r="D30" s="21"/>
      <c r="E30" s="21"/>
      <c r="F30" s="19"/>
      <c r="G30" s="19"/>
      <c r="H30" s="22" t="str">
        <f aca="false">IF($A30="","",SUMIFS(Sales!$C$2:$C$1001,Sales!$B$2:$B$1001,$A30))</f>
        <v/>
      </c>
      <c r="I30" s="22" t="str">
        <f aca="false">IF($A30="","",F30-H30)</f>
        <v/>
      </c>
      <c r="J30" s="23" t="str">
        <f aca="false">IF($A30="","",IF(I30&lt;=G30,"Reorder","OK"))</f>
        <v/>
      </c>
      <c r="K30" s="17" t="str">
        <f aca="false">IF($A30="","",SUMIFS(Sales!$H$2:$H$1001,Sales!$B$2:$B$1001,$A30))</f>
        <v/>
      </c>
      <c r="L30" s="17" t="str">
        <f aca="false">IF($A30="","",SUMIFS(Sales!$J$2:$J$1001,Sales!$B$2:$B$1001,$A30))</f>
        <v/>
      </c>
      <c r="M30" s="24" t="str">
        <f aca="false">IF($A30="","",IF(K30=0,0,L30/K30))</f>
        <v/>
      </c>
    </row>
    <row r="31" customFormat="false" ht="15" hidden="false" customHeight="false" outlineLevel="0" collapsed="false">
      <c r="A31" s="19"/>
      <c r="B31" s="19"/>
      <c r="C31" s="19"/>
      <c r="D31" s="21"/>
      <c r="E31" s="21"/>
      <c r="F31" s="19"/>
      <c r="G31" s="19"/>
      <c r="H31" s="22" t="str">
        <f aca="false">IF($A31="","",SUMIFS(Sales!$C$2:$C$1001,Sales!$B$2:$B$1001,$A31))</f>
        <v/>
      </c>
      <c r="I31" s="22" t="str">
        <f aca="false">IF($A31="","",F31-H31)</f>
        <v/>
      </c>
      <c r="J31" s="23" t="str">
        <f aca="false">IF($A31="","",IF(I31&lt;=G31,"Reorder","OK"))</f>
        <v/>
      </c>
      <c r="K31" s="17" t="str">
        <f aca="false">IF($A31="","",SUMIFS(Sales!$H$2:$H$1001,Sales!$B$2:$B$1001,$A31))</f>
        <v/>
      </c>
      <c r="L31" s="17" t="str">
        <f aca="false">IF($A31="","",SUMIFS(Sales!$J$2:$J$1001,Sales!$B$2:$B$1001,$A31))</f>
        <v/>
      </c>
      <c r="M31" s="24" t="str">
        <f aca="false">IF($A31="","",IF(K31=0,0,L31/K31))</f>
        <v/>
      </c>
    </row>
    <row r="32" customFormat="false" ht="15" hidden="false" customHeight="false" outlineLevel="0" collapsed="false">
      <c r="A32" s="19"/>
      <c r="B32" s="19"/>
      <c r="C32" s="19"/>
      <c r="D32" s="21"/>
      <c r="E32" s="21"/>
      <c r="F32" s="19"/>
      <c r="G32" s="19"/>
      <c r="H32" s="22" t="str">
        <f aca="false">IF($A32="","",SUMIFS(Sales!$C$2:$C$1001,Sales!$B$2:$B$1001,$A32))</f>
        <v/>
      </c>
      <c r="I32" s="22" t="str">
        <f aca="false">IF($A32="","",F32-H32)</f>
        <v/>
      </c>
      <c r="J32" s="23" t="str">
        <f aca="false">IF($A32="","",IF(I32&lt;=G32,"Reorder","OK"))</f>
        <v/>
      </c>
      <c r="K32" s="17" t="str">
        <f aca="false">IF($A32="","",SUMIFS(Sales!$H$2:$H$1001,Sales!$B$2:$B$1001,$A32))</f>
        <v/>
      </c>
      <c r="L32" s="17" t="str">
        <f aca="false">IF($A32="","",SUMIFS(Sales!$J$2:$J$1001,Sales!$B$2:$B$1001,$A32))</f>
        <v/>
      </c>
      <c r="M32" s="24" t="str">
        <f aca="false">IF($A32="","",IF(K32=0,0,L32/K32))</f>
        <v/>
      </c>
    </row>
    <row r="33" customFormat="false" ht="15" hidden="false" customHeight="false" outlineLevel="0" collapsed="false">
      <c r="A33" s="19"/>
      <c r="B33" s="19"/>
      <c r="C33" s="19"/>
      <c r="D33" s="21"/>
      <c r="E33" s="21"/>
      <c r="F33" s="19"/>
      <c r="G33" s="19"/>
      <c r="H33" s="22" t="str">
        <f aca="false">IF($A33="","",SUMIFS(Sales!$C$2:$C$1001,Sales!$B$2:$B$1001,$A33))</f>
        <v/>
      </c>
      <c r="I33" s="22" t="str">
        <f aca="false">IF($A33="","",F33-H33)</f>
        <v/>
      </c>
      <c r="J33" s="23" t="str">
        <f aca="false">IF($A33="","",IF(I33&lt;=G33,"Reorder","OK"))</f>
        <v/>
      </c>
      <c r="K33" s="17" t="str">
        <f aca="false">IF($A33="","",SUMIFS(Sales!$H$2:$H$1001,Sales!$B$2:$B$1001,$A33))</f>
        <v/>
      </c>
      <c r="L33" s="17" t="str">
        <f aca="false">IF($A33="","",SUMIFS(Sales!$J$2:$J$1001,Sales!$B$2:$B$1001,$A33))</f>
        <v/>
      </c>
      <c r="M33" s="24" t="str">
        <f aca="false">IF($A33="","",IF(K33=0,0,L33/K33))</f>
        <v/>
      </c>
    </row>
    <row r="34" customFormat="false" ht="15" hidden="false" customHeight="false" outlineLevel="0" collapsed="false">
      <c r="A34" s="19"/>
      <c r="B34" s="19"/>
      <c r="C34" s="19"/>
      <c r="D34" s="21"/>
      <c r="E34" s="21"/>
      <c r="F34" s="19"/>
      <c r="G34" s="19"/>
      <c r="H34" s="22" t="str">
        <f aca="false">IF($A34="","",SUMIFS(Sales!$C$2:$C$1001,Sales!$B$2:$B$1001,$A34))</f>
        <v/>
      </c>
      <c r="I34" s="22" t="str">
        <f aca="false">IF($A34="","",F34-H34)</f>
        <v/>
      </c>
      <c r="J34" s="23" t="str">
        <f aca="false">IF($A34="","",IF(I34&lt;=G34,"Reorder","OK"))</f>
        <v/>
      </c>
      <c r="K34" s="17" t="str">
        <f aca="false">IF($A34="","",SUMIFS(Sales!$H$2:$H$1001,Sales!$B$2:$B$1001,$A34))</f>
        <v/>
      </c>
      <c r="L34" s="17" t="str">
        <f aca="false">IF($A34="","",SUMIFS(Sales!$J$2:$J$1001,Sales!$B$2:$B$1001,$A34))</f>
        <v/>
      </c>
      <c r="M34" s="24" t="str">
        <f aca="false">IF($A34="","",IF(K34=0,0,L34/K34))</f>
        <v/>
      </c>
    </row>
    <row r="35" customFormat="false" ht="15" hidden="false" customHeight="false" outlineLevel="0" collapsed="false">
      <c r="A35" s="19"/>
      <c r="B35" s="19"/>
      <c r="C35" s="19"/>
      <c r="D35" s="21"/>
      <c r="E35" s="21"/>
      <c r="F35" s="19"/>
      <c r="G35" s="19"/>
      <c r="H35" s="22" t="str">
        <f aca="false">IF($A35="","",SUMIFS(Sales!$C$2:$C$1001,Sales!$B$2:$B$1001,$A35))</f>
        <v/>
      </c>
      <c r="I35" s="22" t="str">
        <f aca="false">IF($A35="","",F35-H35)</f>
        <v/>
      </c>
      <c r="J35" s="23" t="str">
        <f aca="false">IF($A35="","",IF(I35&lt;=G35,"Reorder","OK"))</f>
        <v/>
      </c>
      <c r="K35" s="17" t="str">
        <f aca="false">IF($A35="","",SUMIFS(Sales!$H$2:$H$1001,Sales!$B$2:$B$1001,$A35))</f>
        <v/>
      </c>
      <c r="L35" s="17" t="str">
        <f aca="false">IF($A35="","",SUMIFS(Sales!$J$2:$J$1001,Sales!$B$2:$B$1001,$A35))</f>
        <v/>
      </c>
      <c r="M35" s="24" t="str">
        <f aca="false">IF($A35="","",IF(K35=0,0,L35/K35))</f>
        <v/>
      </c>
    </row>
    <row r="36" customFormat="false" ht="15" hidden="false" customHeight="false" outlineLevel="0" collapsed="false">
      <c r="A36" s="19"/>
      <c r="B36" s="19"/>
      <c r="C36" s="19"/>
      <c r="D36" s="21"/>
      <c r="E36" s="21"/>
      <c r="F36" s="19"/>
      <c r="G36" s="19"/>
      <c r="H36" s="22" t="str">
        <f aca="false">IF($A36="","",SUMIFS(Sales!$C$2:$C$1001,Sales!$B$2:$B$1001,$A36))</f>
        <v/>
      </c>
      <c r="I36" s="22" t="str">
        <f aca="false">IF($A36="","",F36-H36)</f>
        <v/>
      </c>
      <c r="J36" s="23" t="str">
        <f aca="false">IF($A36="","",IF(I36&lt;=G36,"Reorder","OK"))</f>
        <v/>
      </c>
      <c r="K36" s="17" t="str">
        <f aca="false">IF($A36="","",SUMIFS(Sales!$H$2:$H$1001,Sales!$B$2:$B$1001,$A36))</f>
        <v/>
      </c>
      <c r="L36" s="17" t="str">
        <f aca="false">IF($A36="","",SUMIFS(Sales!$J$2:$J$1001,Sales!$B$2:$B$1001,$A36))</f>
        <v/>
      </c>
      <c r="M36" s="24" t="str">
        <f aca="false">IF($A36="","",IF(K36=0,0,L36/K36))</f>
        <v/>
      </c>
    </row>
    <row r="37" customFormat="false" ht="15" hidden="false" customHeight="false" outlineLevel="0" collapsed="false">
      <c r="A37" s="19"/>
      <c r="B37" s="19"/>
      <c r="C37" s="19"/>
      <c r="D37" s="21"/>
      <c r="E37" s="21"/>
      <c r="F37" s="19"/>
      <c r="G37" s="19"/>
      <c r="H37" s="22" t="str">
        <f aca="false">IF($A37="","",SUMIFS(Sales!$C$2:$C$1001,Sales!$B$2:$B$1001,$A37))</f>
        <v/>
      </c>
      <c r="I37" s="22" t="str">
        <f aca="false">IF($A37="","",F37-H37)</f>
        <v/>
      </c>
      <c r="J37" s="23" t="str">
        <f aca="false">IF($A37="","",IF(I37&lt;=G37,"Reorder","OK"))</f>
        <v/>
      </c>
      <c r="K37" s="17" t="str">
        <f aca="false">IF($A37="","",SUMIFS(Sales!$H$2:$H$1001,Sales!$B$2:$B$1001,$A37))</f>
        <v/>
      </c>
      <c r="L37" s="17" t="str">
        <f aca="false">IF($A37="","",SUMIFS(Sales!$J$2:$J$1001,Sales!$B$2:$B$1001,$A37))</f>
        <v/>
      </c>
      <c r="M37" s="24" t="str">
        <f aca="false">IF($A37="","",IF(K37=0,0,L37/K37))</f>
        <v/>
      </c>
    </row>
    <row r="38" customFormat="false" ht="15" hidden="false" customHeight="false" outlineLevel="0" collapsed="false">
      <c r="A38" s="19"/>
      <c r="B38" s="19"/>
      <c r="C38" s="19"/>
      <c r="D38" s="21"/>
      <c r="E38" s="21"/>
      <c r="F38" s="19"/>
      <c r="G38" s="19"/>
      <c r="H38" s="22" t="str">
        <f aca="false">IF($A38="","",SUMIFS(Sales!$C$2:$C$1001,Sales!$B$2:$B$1001,$A38))</f>
        <v/>
      </c>
      <c r="I38" s="22" t="str">
        <f aca="false">IF($A38="","",F38-H38)</f>
        <v/>
      </c>
      <c r="J38" s="23" t="str">
        <f aca="false">IF($A38="","",IF(I38&lt;=G38,"Reorder","OK"))</f>
        <v/>
      </c>
      <c r="K38" s="17" t="str">
        <f aca="false">IF($A38="","",SUMIFS(Sales!$H$2:$H$1001,Sales!$B$2:$B$1001,$A38))</f>
        <v/>
      </c>
      <c r="L38" s="17" t="str">
        <f aca="false">IF($A38="","",SUMIFS(Sales!$J$2:$J$1001,Sales!$B$2:$B$1001,$A38))</f>
        <v/>
      </c>
      <c r="M38" s="24" t="str">
        <f aca="false">IF($A38="","",IF(K38=0,0,L38/K38))</f>
        <v/>
      </c>
    </row>
    <row r="39" customFormat="false" ht="15" hidden="false" customHeight="false" outlineLevel="0" collapsed="false">
      <c r="A39" s="19"/>
      <c r="B39" s="19"/>
      <c r="C39" s="19"/>
      <c r="D39" s="21"/>
      <c r="E39" s="21"/>
      <c r="F39" s="19"/>
      <c r="G39" s="19"/>
      <c r="H39" s="22" t="str">
        <f aca="false">IF($A39="","",SUMIFS(Sales!$C$2:$C$1001,Sales!$B$2:$B$1001,$A39))</f>
        <v/>
      </c>
      <c r="I39" s="22" t="str">
        <f aca="false">IF($A39="","",F39-H39)</f>
        <v/>
      </c>
      <c r="J39" s="23" t="str">
        <f aca="false">IF($A39="","",IF(I39&lt;=G39,"Reorder","OK"))</f>
        <v/>
      </c>
      <c r="K39" s="17" t="str">
        <f aca="false">IF($A39="","",SUMIFS(Sales!$H$2:$H$1001,Sales!$B$2:$B$1001,$A39))</f>
        <v/>
      </c>
      <c r="L39" s="17" t="str">
        <f aca="false">IF($A39="","",SUMIFS(Sales!$J$2:$J$1001,Sales!$B$2:$B$1001,$A39))</f>
        <v/>
      </c>
      <c r="M39" s="24" t="str">
        <f aca="false">IF($A39="","",IF(K39=0,0,L39/K39))</f>
        <v/>
      </c>
    </row>
    <row r="40" customFormat="false" ht="15" hidden="false" customHeight="false" outlineLevel="0" collapsed="false">
      <c r="A40" s="19"/>
      <c r="B40" s="19"/>
      <c r="C40" s="19"/>
      <c r="D40" s="21"/>
      <c r="E40" s="21"/>
      <c r="F40" s="19"/>
      <c r="G40" s="19"/>
      <c r="H40" s="22" t="str">
        <f aca="false">IF($A40="","",SUMIFS(Sales!$C$2:$C$1001,Sales!$B$2:$B$1001,$A40))</f>
        <v/>
      </c>
      <c r="I40" s="22" t="str">
        <f aca="false">IF($A40="","",F40-H40)</f>
        <v/>
      </c>
      <c r="J40" s="23" t="str">
        <f aca="false">IF($A40="","",IF(I40&lt;=G40,"Reorder","OK"))</f>
        <v/>
      </c>
      <c r="K40" s="17" t="str">
        <f aca="false">IF($A40="","",SUMIFS(Sales!$H$2:$H$1001,Sales!$B$2:$B$1001,$A40))</f>
        <v/>
      </c>
      <c r="L40" s="17" t="str">
        <f aca="false">IF($A40="","",SUMIFS(Sales!$J$2:$J$1001,Sales!$B$2:$B$1001,$A40))</f>
        <v/>
      </c>
      <c r="M40" s="24" t="str">
        <f aca="false">IF($A40="","",IF(K40=0,0,L40/K40))</f>
        <v/>
      </c>
    </row>
    <row r="41" customFormat="false" ht="15" hidden="false" customHeight="false" outlineLevel="0" collapsed="false">
      <c r="A41" s="19"/>
      <c r="B41" s="19"/>
      <c r="C41" s="19"/>
      <c r="D41" s="21"/>
      <c r="E41" s="21"/>
      <c r="F41" s="19"/>
      <c r="G41" s="19"/>
      <c r="H41" s="22" t="str">
        <f aca="false">IF($A41="","",SUMIFS(Sales!$C$2:$C$1001,Sales!$B$2:$B$1001,$A41))</f>
        <v/>
      </c>
      <c r="I41" s="22" t="str">
        <f aca="false">IF($A41="","",F41-H41)</f>
        <v/>
      </c>
      <c r="J41" s="23" t="str">
        <f aca="false">IF($A41="","",IF(I41&lt;=G41,"Reorder","OK"))</f>
        <v/>
      </c>
      <c r="K41" s="17" t="str">
        <f aca="false">IF($A41="","",SUMIFS(Sales!$H$2:$H$1001,Sales!$B$2:$B$1001,$A41))</f>
        <v/>
      </c>
      <c r="L41" s="17" t="str">
        <f aca="false">IF($A41="","",SUMIFS(Sales!$J$2:$J$1001,Sales!$B$2:$B$1001,$A41))</f>
        <v/>
      </c>
      <c r="M41" s="24" t="str">
        <f aca="false">IF($A41="","",IF(K41=0,0,L41/K41))</f>
        <v/>
      </c>
    </row>
    <row r="42" customFormat="false" ht="15" hidden="false" customHeight="false" outlineLevel="0" collapsed="false">
      <c r="A42" s="19"/>
      <c r="B42" s="19"/>
      <c r="C42" s="19"/>
      <c r="D42" s="21"/>
      <c r="E42" s="21"/>
      <c r="F42" s="19"/>
      <c r="G42" s="19"/>
      <c r="H42" s="22" t="str">
        <f aca="false">IF($A42="","",SUMIFS(Sales!$C$2:$C$1001,Sales!$B$2:$B$1001,$A42))</f>
        <v/>
      </c>
      <c r="I42" s="22" t="str">
        <f aca="false">IF($A42="","",F42-H42)</f>
        <v/>
      </c>
      <c r="J42" s="23" t="str">
        <f aca="false">IF($A42="","",IF(I42&lt;=G42,"Reorder","OK"))</f>
        <v/>
      </c>
      <c r="K42" s="17" t="str">
        <f aca="false">IF($A42="","",SUMIFS(Sales!$H$2:$H$1001,Sales!$B$2:$B$1001,$A42))</f>
        <v/>
      </c>
      <c r="L42" s="17" t="str">
        <f aca="false">IF($A42="","",SUMIFS(Sales!$J$2:$J$1001,Sales!$B$2:$B$1001,$A42))</f>
        <v/>
      </c>
      <c r="M42" s="24" t="str">
        <f aca="false">IF($A42="","",IF(K42=0,0,L42/K42))</f>
        <v/>
      </c>
    </row>
    <row r="43" customFormat="false" ht="15" hidden="false" customHeight="false" outlineLevel="0" collapsed="false">
      <c r="A43" s="19"/>
      <c r="B43" s="19"/>
      <c r="C43" s="19"/>
      <c r="D43" s="21"/>
      <c r="E43" s="21"/>
      <c r="F43" s="19"/>
      <c r="G43" s="19"/>
      <c r="H43" s="22" t="str">
        <f aca="false">IF($A43="","",SUMIFS(Sales!$C$2:$C$1001,Sales!$B$2:$B$1001,$A43))</f>
        <v/>
      </c>
      <c r="I43" s="22" t="str">
        <f aca="false">IF($A43="","",F43-H43)</f>
        <v/>
      </c>
      <c r="J43" s="23" t="str">
        <f aca="false">IF($A43="","",IF(I43&lt;=G43,"Reorder","OK"))</f>
        <v/>
      </c>
      <c r="K43" s="17" t="str">
        <f aca="false">IF($A43="","",SUMIFS(Sales!$H$2:$H$1001,Sales!$B$2:$B$1001,$A43))</f>
        <v/>
      </c>
      <c r="L43" s="17" t="str">
        <f aca="false">IF($A43="","",SUMIFS(Sales!$J$2:$J$1001,Sales!$B$2:$B$1001,$A43))</f>
        <v/>
      </c>
      <c r="M43" s="24" t="str">
        <f aca="false">IF($A43="","",IF(K43=0,0,L43/K43))</f>
        <v/>
      </c>
    </row>
    <row r="44" customFormat="false" ht="15" hidden="false" customHeight="false" outlineLevel="0" collapsed="false">
      <c r="A44" s="19"/>
      <c r="B44" s="19"/>
      <c r="C44" s="19"/>
      <c r="D44" s="21"/>
      <c r="E44" s="21"/>
      <c r="F44" s="19"/>
      <c r="G44" s="19"/>
      <c r="H44" s="22" t="str">
        <f aca="false">IF($A44="","",SUMIFS(Sales!$C$2:$C$1001,Sales!$B$2:$B$1001,$A44))</f>
        <v/>
      </c>
      <c r="I44" s="22" t="str">
        <f aca="false">IF($A44="","",F44-H44)</f>
        <v/>
      </c>
      <c r="J44" s="23" t="str">
        <f aca="false">IF($A44="","",IF(I44&lt;=G44,"Reorder","OK"))</f>
        <v/>
      </c>
      <c r="K44" s="17" t="str">
        <f aca="false">IF($A44="","",SUMIFS(Sales!$H$2:$H$1001,Sales!$B$2:$B$1001,$A44))</f>
        <v/>
      </c>
      <c r="L44" s="17" t="str">
        <f aca="false">IF($A44="","",SUMIFS(Sales!$J$2:$J$1001,Sales!$B$2:$B$1001,$A44))</f>
        <v/>
      </c>
      <c r="M44" s="24" t="str">
        <f aca="false">IF($A44="","",IF(K44=0,0,L44/K44))</f>
        <v/>
      </c>
    </row>
    <row r="45" customFormat="false" ht="15" hidden="false" customHeight="false" outlineLevel="0" collapsed="false">
      <c r="A45" s="19"/>
      <c r="B45" s="19"/>
      <c r="C45" s="19"/>
      <c r="D45" s="21"/>
      <c r="E45" s="21"/>
      <c r="F45" s="19"/>
      <c r="G45" s="19"/>
      <c r="H45" s="22" t="str">
        <f aca="false">IF($A45="","",SUMIFS(Sales!$C$2:$C$1001,Sales!$B$2:$B$1001,$A45))</f>
        <v/>
      </c>
      <c r="I45" s="22" t="str">
        <f aca="false">IF($A45="","",F45-H45)</f>
        <v/>
      </c>
      <c r="J45" s="23" t="str">
        <f aca="false">IF($A45="","",IF(I45&lt;=G45,"Reorder","OK"))</f>
        <v/>
      </c>
      <c r="K45" s="17" t="str">
        <f aca="false">IF($A45="","",SUMIFS(Sales!$H$2:$H$1001,Sales!$B$2:$B$1001,$A45))</f>
        <v/>
      </c>
      <c r="L45" s="17" t="str">
        <f aca="false">IF($A45="","",SUMIFS(Sales!$J$2:$J$1001,Sales!$B$2:$B$1001,$A45))</f>
        <v/>
      </c>
      <c r="M45" s="24" t="str">
        <f aca="false">IF($A45="","",IF(K45=0,0,L45/K45))</f>
        <v/>
      </c>
    </row>
    <row r="46" customFormat="false" ht="15" hidden="false" customHeight="false" outlineLevel="0" collapsed="false">
      <c r="A46" s="19"/>
      <c r="B46" s="19"/>
      <c r="C46" s="19"/>
      <c r="D46" s="21"/>
      <c r="E46" s="21"/>
      <c r="F46" s="19"/>
      <c r="G46" s="19"/>
      <c r="H46" s="22" t="str">
        <f aca="false">IF($A46="","",SUMIFS(Sales!$C$2:$C$1001,Sales!$B$2:$B$1001,$A46))</f>
        <v/>
      </c>
      <c r="I46" s="22" t="str">
        <f aca="false">IF($A46="","",F46-H46)</f>
        <v/>
      </c>
      <c r="J46" s="23" t="str">
        <f aca="false">IF($A46="","",IF(I46&lt;=G46,"Reorder","OK"))</f>
        <v/>
      </c>
      <c r="K46" s="17" t="str">
        <f aca="false">IF($A46="","",SUMIFS(Sales!$H$2:$H$1001,Sales!$B$2:$B$1001,$A46))</f>
        <v/>
      </c>
      <c r="L46" s="17" t="str">
        <f aca="false">IF($A46="","",SUMIFS(Sales!$J$2:$J$1001,Sales!$B$2:$B$1001,$A46))</f>
        <v/>
      </c>
      <c r="M46" s="24" t="str">
        <f aca="false">IF($A46="","",IF(K46=0,0,L46/K46))</f>
        <v/>
      </c>
    </row>
    <row r="47" customFormat="false" ht="15" hidden="false" customHeight="false" outlineLevel="0" collapsed="false">
      <c r="A47" s="19"/>
      <c r="B47" s="19"/>
      <c r="C47" s="19"/>
      <c r="D47" s="21"/>
      <c r="E47" s="21"/>
      <c r="F47" s="19"/>
      <c r="G47" s="19"/>
      <c r="H47" s="22" t="str">
        <f aca="false">IF($A47="","",SUMIFS(Sales!$C$2:$C$1001,Sales!$B$2:$B$1001,$A47))</f>
        <v/>
      </c>
      <c r="I47" s="22" t="str">
        <f aca="false">IF($A47="","",F47-H47)</f>
        <v/>
      </c>
      <c r="J47" s="23" t="str">
        <f aca="false">IF($A47="","",IF(I47&lt;=G47,"Reorder","OK"))</f>
        <v/>
      </c>
      <c r="K47" s="17" t="str">
        <f aca="false">IF($A47="","",SUMIFS(Sales!$H$2:$H$1001,Sales!$B$2:$B$1001,$A47))</f>
        <v/>
      </c>
      <c r="L47" s="17" t="str">
        <f aca="false">IF($A47="","",SUMIFS(Sales!$J$2:$J$1001,Sales!$B$2:$B$1001,$A47))</f>
        <v/>
      </c>
      <c r="M47" s="24" t="str">
        <f aca="false">IF($A47="","",IF(K47=0,0,L47/K47))</f>
        <v/>
      </c>
    </row>
    <row r="48" customFormat="false" ht="15" hidden="false" customHeight="false" outlineLevel="0" collapsed="false">
      <c r="A48" s="19"/>
      <c r="B48" s="19"/>
      <c r="C48" s="19"/>
      <c r="D48" s="21"/>
      <c r="E48" s="21"/>
      <c r="F48" s="19"/>
      <c r="G48" s="19"/>
      <c r="H48" s="22" t="str">
        <f aca="false">IF($A48="","",SUMIFS(Sales!$C$2:$C$1001,Sales!$B$2:$B$1001,$A48))</f>
        <v/>
      </c>
      <c r="I48" s="22" t="str">
        <f aca="false">IF($A48="","",F48-H48)</f>
        <v/>
      </c>
      <c r="J48" s="23" t="str">
        <f aca="false">IF($A48="","",IF(I48&lt;=G48,"Reorder","OK"))</f>
        <v/>
      </c>
      <c r="K48" s="17" t="str">
        <f aca="false">IF($A48="","",SUMIFS(Sales!$H$2:$H$1001,Sales!$B$2:$B$1001,$A48))</f>
        <v/>
      </c>
      <c r="L48" s="17" t="str">
        <f aca="false">IF($A48="","",SUMIFS(Sales!$J$2:$J$1001,Sales!$B$2:$B$1001,$A48))</f>
        <v/>
      </c>
      <c r="M48" s="24" t="str">
        <f aca="false">IF($A48="","",IF(K48=0,0,L48/K48))</f>
        <v/>
      </c>
    </row>
    <row r="49" customFormat="false" ht="15" hidden="false" customHeight="false" outlineLevel="0" collapsed="false">
      <c r="A49" s="19"/>
      <c r="B49" s="19"/>
      <c r="C49" s="19"/>
      <c r="D49" s="21"/>
      <c r="E49" s="21"/>
      <c r="F49" s="19"/>
      <c r="G49" s="19"/>
      <c r="H49" s="22" t="str">
        <f aca="false">IF($A49="","",SUMIFS(Sales!$C$2:$C$1001,Sales!$B$2:$B$1001,$A49))</f>
        <v/>
      </c>
      <c r="I49" s="22" t="str">
        <f aca="false">IF($A49="","",F49-H49)</f>
        <v/>
      </c>
      <c r="J49" s="23" t="str">
        <f aca="false">IF($A49="","",IF(I49&lt;=G49,"Reorder","OK"))</f>
        <v/>
      </c>
      <c r="K49" s="17" t="str">
        <f aca="false">IF($A49="","",SUMIFS(Sales!$H$2:$H$1001,Sales!$B$2:$B$1001,$A49))</f>
        <v/>
      </c>
      <c r="L49" s="17" t="str">
        <f aca="false">IF($A49="","",SUMIFS(Sales!$J$2:$J$1001,Sales!$B$2:$B$1001,$A49))</f>
        <v/>
      </c>
      <c r="M49" s="24" t="str">
        <f aca="false">IF($A49="","",IF(K49=0,0,L49/K49))</f>
        <v/>
      </c>
    </row>
    <row r="50" customFormat="false" ht="15" hidden="false" customHeight="false" outlineLevel="0" collapsed="false">
      <c r="A50" s="19"/>
      <c r="B50" s="19"/>
      <c r="C50" s="19"/>
      <c r="D50" s="21"/>
      <c r="E50" s="21"/>
      <c r="F50" s="19"/>
      <c r="G50" s="19"/>
      <c r="H50" s="22" t="str">
        <f aca="false">IF($A50="","",SUMIFS(Sales!$C$2:$C$1001,Sales!$B$2:$B$1001,$A50))</f>
        <v/>
      </c>
      <c r="I50" s="22" t="str">
        <f aca="false">IF($A50="","",F50-H50)</f>
        <v/>
      </c>
      <c r="J50" s="23" t="str">
        <f aca="false">IF($A50="","",IF(I50&lt;=G50,"Reorder","OK"))</f>
        <v/>
      </c>
      <c r="K50" s="17" t="str">
        <f aca="false">IF($A50="","",SUMIFS(Sales!$H$2:$H$1001,Sales!$B$2:$B$1001,$A50))</f>
        <v/>
      </c>
      <c r="L50" s="17" t="str">
        <f aca="false">IF($A50="","",SUMIFS(Sales!$J$2:$J$1001,Sales!$B$2:$B$1001,$A50))</f>
        <v/>
      </c>
      <c r="M50" s="24" t="str">
        <f aca="false">IF($A50="","",IF(K50=0,0,L50/K50))</f>
        <v/>
      </c>
    </row>
    <row r="51" customFormat="false" ht="15" hidden="false" customHeight="false" outlineLevel="0" collapsed="false">
      <c r="A51" s="19"/>
      <c r="B51" s="19"/>
      <c r="C51" s="19"/>
      <c r="D51" s="21"/>
      <c r="E51" s="21"/>
      <c r="F51" s="19"/>
      <c r="G51" s="19"/>
      <c r="H51" s="22" t="str">
        <f aca="false">IF($A51="","",SUMIFS(Sales!$C$2:$C$1001,Sales!$B$2:$B$1001,$A51))</f>
        <v/>
      </c>
      <c r="I51" s="22" t="str">
        <f aca="false">IF($A51="","",F51-H51)</f>
        <v/>
      </c>
      <c r="J51" s="23" t="str">
        <f aca="false">IF($A51="","",IF(I51&lt;=G51,"Reorder","OK"))</f>
        <v/>
      </c>
      <c r="K51" s="17" t="str">
        <f aca="false">IF($A51="","",SUMIFS(Sales!$H$2:$H$1001,Sales!$B$2:$B$1001,$A51))</f>
        <v/>
      </c>
      <c r="L51" s="17" t="str">
        <f aca="false">IF($A51="","",SUMIFS(Sales!$J$2:$J$1001,Sales!$B$2:$B$1001,$A51))</f>
        <v/>
      </c>
      <c r="M51" s="24" t="str">
        <f aca="false">IF($A51="","",IF(K51=0,0,L51/K51))</f>
        <v/>
      </c>
    </row>
    <row r="52" customFormat="false" ht="15" hidden="false" customHeight="false" outlineLevel="0" collapsed="false">
      <c r="A52" s="19"/>
      <c r="B52" s="19"/>
      <c r="C52" s="19"/>
      <c r="D52" s="21"/>
      <c r="E52" s="21"/>
      <c r="F52" s="19"/>
      <c r="G52" s="19"/>
      <c r="H52" s="22" t="str">
        <f aca="false">IF($A52="","",SUMIFS(Sales!$C$2:$C$1001,Sales!$B$2:$B$1001,$A52))</f>
        <v/>
      </c>
      <c r="I52" s="22" t="str">
        <f aca="false">IF($A52="","",F52-H52)</f>
        <v/>
      </c>
      <c r="J52" s="23" t="str">
        <f aca="false">IF($A52="","",IF(I52&lt;=G52,"Reorder","OK"))</f>
        <v/>
      </c>
      <c r="K52" s="17" t="str">
        <f aca="false">IF($A52="","",SUMIFS(Sales!$H$2:$H$1001,Sales!$B$2:$B$1001,$A52))</f>
        <v/>
      </c>
      <c r="L52" s="17" t="str">
        <f aca="false">IF($A52="","",SUMIFS(Sales!$J$2:$J$1001,Sales!$B$2:$B$1001,$A52))</f>
        <v/>
      </c>
      <c r="M52" s="24" t="str">
        <f aca="false">IF($A52="","",IF(K52=0,0,L52/K52))</f>
        <v/>
      </c>
    </row>
    <row r="53" customFormat="false" ht="15" hidden="false" customHeight="false" outlineLevel="0" collapsed="false">
      <c r="A53" s="19"/>
      <c r="B53" s="19"/>
      <c r="C53" s="19"/>
      <c r="D53" s="21"/>
      <c r="E53" s="21"/>
      <c r="F53" s="19"/>
      <c r="G53" s="19"/>
      <c r="H53" s="22" t="str">
        <f aca="false">IF($A53="","",SUMIFS(Sales!$C$2:$C$1001,Sales!$B$2:$B$1001,$A53))</f>
        <v/>
      </c>
      <c r="I53" s="22" t="str">
        <f aca="false">IF($A53="","",F53-H53)</f>
        <v/>
      </c>
      <c r="J53" s="23" t="str">
        <f aca="false">IF($A53="","",IF(I53&lt;=G53,"Reorder","OK"))</f>
        <v/>
      </c>
      <c r="K53" s="17" t="str">
        <f aca="false">IF($A53="","",SUMIFS(Sales!$H$2:$H$1001,Sales!$B$2:$B$1001,$A53))</f>
        <v/>
      </c>
      <c r="L53" s="17" t="str">
        <f aca="false">IF($A53="","",SUMIFS(Sales!$J$2:$J$1001,Sales!$B$2:$B$1001,$A53))</f>
        <v/>
      </c>
      <c r="M53" s="24" t="str">
        <f aca="false">IF($A53="","",IF(K53=0,0,L53/K53))</f>
        <v/>
      </c>
    </row>
    <row r="54" customFormat="false" ht="15" hidden="false" customHeight="false" outlineLevel="0" collapsed="false">
      <c r="A54" s="19"/>
      <c r="B54" s="19"/>
      <c r="C54" s="19"/>
      <c r="D54" s="21"/>
      <c r="E54" s="21"/>
      <c r="F54" s="19"/>
      <c r="G54" s="19"/>
      <c r="H54" s="22" t="str">
        <f aca="false">IF($A54="","",SUMIFS(Sales!$C$2:$C$1001,Sales!$B$2:$B$1001,$A54))</f>
        <v/>
      </c>
      <c r="I54" s="22" t="str">
        <f aca="false">IF($A54="","",F54-H54)</f>
        <v/>
      </c>
      <c r="J54" s="23" t="str">
        <f aca="false">IF($A54="","",IF(I54&lt;=G54,"Reorder","OK"))</f>
        <v/>
      </c>
      <c r="K54" s="17" t="str">
        <f aca="false">IF($A54="","",SUMIFS(Sales!$H$2:$H$1001,Sales!$B$2:$B$1001,$A54))</f>
        <v/>
      </c>
      <c r="L54" s="17" t="str">
        <f aca="false">IF($A54="","",SUMIFS(Sales!$J$2:$J$1001,Sales!$B$2:$B$1001,$A54))</f>
        <v/>
      </c>
      <c r="M54" s="24" t="str">
        <f aca="false">IF($A54="","",IF(K54=0,0,L54/K54))</f>
        <v/>
      </c>
    </row>
    <row r="55" customFormat="false" ht="15" hidden="false" customHeight="false" outlineLevel="0" collapsed="false">
      <c r="A55" s="19"/>
      <c r="B55" s="19"/>
      <c r="C55" s="19"/>
      <c r="D55" s="21"/>
      <c r="E55" s="21"/>
      <c r="F55" s="19"/>
      <c r="G55" s="19"/>
      <c r="H55" s="22" t="str">
        <f aca="false">IF($A55="","",SUMIFS(Sales!$C$2:$C$1001,Sales!$B$2:$B$1001,$A55))</f>
        <v/>
      </c>
      <c r="I55" s="22" t="str">
        <f aca="false">IF($A55="","",F55-H55)</f>
        <v/>
      </c>
      <c r="J55" s="23" t="str">
        <f aca="false">IF($A55="","",IF(I55&lt;=G55,"Reorder","OK"))</f>
        <v/>
      </c>
      <c r="K55" s="17" t="str">
        <f aca="false">IF($A55="","",SUMIFS(Sales!$H$2:$H$1001,Sales!$B$2:$B$1001,$A55))</f>
        <v/>
      </c>
      <c r="L55" s="17" t="str">
        <f aca="false">IF($A55="","",SUMIFS(Sales!$J$2:$J$1001,Sales!$B$2:$B$1001,$A55))</f>
        <v/>
      </c>
      <c r="M55" s="24" t="str">
        <f aca="false">IF($A55="","",IF(K55=0,0,L55/K55))</f>
        <v/>
      </c>
    </row>
    <row r="56" customFormat="false" ht="15" hidden="false" customHeight="false" outlineLevel="0" collapsed="false">
      <c r="A56" s="19"/>
      <c r="B56" s="19"/>
      <c r="C56" s="19"/>
      <c r="D56" s="21"/>
      <c r="E56" s="21"/>
      <c r="F56" s="19"/>
      <c r="G56" s="19"/>
      <c r="H56" s="22" t="str">
        <f aca="false">IF($A56="","",SUMIFS(Sales!$C$2:$C$1001,Sales!$B$2:$B$1001,$A56))</f>
        <v/>
      </c>
      <c r="I56" s="22" t="str">
        <f aca="false">IF($A56="","",F56-H56)</f>
        <v/>
      </c>
      <c r="J56" s="23" t="str">
        <f aca="false">IF($A56="","",IF(I56&lt;=G56,"Reorder","OK"))</f>
        <v/>
      </c>
      <c r="K56" s="17" t="str">
        <f aca="false">IF($A56="","",SUMIFS(Sales!$H$2:$H$1001,Sales!$B$2:$B$1001,$A56))</f>
        <v/>
      </c>
      <c r="L56" s="17" t="str">
        <f aca="false">IF($A56="","",SUMIFS(Sales!$J$2:$J$1001,Sales!$B$2:$B$1001,$A56))</f>
        <v/>
      </c>
      <c r="M56" s="24" t="str">
        <f aca="false">IF($A56="","",IF(K56=0,0,L56/K56))</f>
        <v/>
      </c>
    </row>
    <row r="57" customFormat="false" ht="15" hidden="false" customHeight="false" outlineLevel="0" collapsed="false">
      <c r="A57" s="19"/>
      <c r="B57" s="19"/>
      <c r="C57" s="19"/>
      <c r="D57" s="21"/>
      <c r="E57" s="21"/>
      <c r="F57" s="19"/>
      <c r="G57" s="19"/>
      <c r="H57" s="22" t="str">
        <f aca="false">IF($A57="","",SUMIFS(Sales!$C$2:$C$1001,Sales!$B$2:$B$1001,$A57))</f>
        <v/>
      </c>
      <c r="I57" s="22" t="str">
        <f aca="false">IF($A57="","",F57-H57)</f>
        <v/>
      </c>
      <c r="J57" s="23" t="str">
        <f aca="false">IF($A57="","",IF(I57&lt;=G57,"Reorder","OK"))</f>
        <v/>
      </c>
      <c r="K57" s="17" t="str">
        <f aca="false">IF($A57="","",SUMIFS(Sales!$H$2:$H$1001,Sales!$B$2:$B$1001,$A57))</f>
        <v/>
      </c>
      <c r="L57" s="17" t="str">
        <f aca="false">IF($A57="","",SUMIFS(Sales!$J$2:$J$1001,Sales!$B$2:$B$1001,$A57))</f>
        <v/>
      </c>
      <c r="M57" s="24" t="str">
        <f aca="false">IF($A57="","",IF(K57=0,0,L57/K57))</f>
        <v/>
      </c>
    </row>
    <row r="58" customFormat="false" ht="15" hidden="false" customHeight="false" outlineLevel="0" collapsed="false">
      <c r="A58" s="19"/>
      <c r="B58" s="19"/>
      <c r="C58" s="19"/>
      <c r="D58" s="21"/>
      <c r="E58" s="21"/>
      <c r="F58" s="19"/>
      <c r="G58" s="19"/>
      <c r="H58" s="22" t="str">
        <f aca="false">IF($A58="","",SUMIFS(Sales!$C$2:$C$1001,Sales!$B$2:$B$1001,$A58))</f>
        <v/>
      </c>
      <c r="I58" s="22" t="str">
        <f aca="false">IF($A58="","",F58-H58)</f>
        <v/>
      </c>
      <c r="J58" s="23" t="str">
        <f aca="false">IF($A58="","",IF(I58&lt;=G58,"Reorder","OK"))</f>
        <v/>
      </c>
      <c r="K58" s="17" t="str">
        <f aca="false">IF($A58="","",SUMIFS(Sales!$H$2:$H$1001,Sales!$B$2:$B$1001,$A58))</f>
        <v/>
      </c>
      <c r="L58" s="17" t="str">
        <f aca="false">IF($A58="","",SUMIFS(Sales!$J$2:$J$1001,Sales!$B$2:$B$1001,$A58))</f>
        <v/>
      </c>
      <c r="M58" s="24" t="str">
        <f aca="false">IF($A58="","",IF(K58=0,0,L58/K58))</f>
        <v/>
      </c>
    </row>
    <row r="59" customFormat="false" ht="15" hidden="false" customHeight="false" outlineLevel="0" collapsed="false">
      <c r="A59" s="19"/>
      <c r="B59" s="19"/>
      <c r="C59" s="19"/>
      <c r="D59" s="21"/>
      <c r="E59" s="21"/>
      <c r="F59" s="19"/>
      <c r="G59" s="19"/>
      <c r="H59" s="22" t="str">
        <f aca="false">IF($A59="","",SUMIFS(Sales!$C$2:$C$1001,Sales!$B$2:$B$1001,$A59))</f>
        <v/>
      </c>
      <c r="I59" s="22" t="str">
        <f aca="false">IF($A59="","",F59-H59)</f>
        <v/>
      </c>
      <c r="J59" s="23" t="str">
        <f aca="false">IF($A59="","",IF(I59&lt;=G59,"Reorder","OK"))</f>
        <v/>
      </c>
      <c r="K59" s="17" t="str">
        <f aca="false">IF($A59="","",SUMIFS(Sales!$H$2:$H$1001,Sales!$B$2:$B$1001,$A59))</f>
        <v/>
      </c>
      <c r="L59" s="17" t="str">
        <f aca="false">IF($A59="","",SUMIFS(Sales!$J$2:$J$1001,Sales!$B$2:$B$1001,$A59))</f>
        <v/>
      </c>
      <c r="M59" s="24" t="str">
        <f aca="false">IF($A59="","",IF(K59=0,0,L59/K59))</f>
        <v/>
      </c>
    </row>
    <row r="60" customFormat="false" ht="15" hidden="false" customHeight="false" outlineLevel="0" collapsed="false">
      <c r="A60" s="19"/>
      <c r="B60" s="19"/>
      <c r="C60" s="19"/>
      <c r="D60" s="21"/>
      <c r="E60" s="21"/>
      <c r="F60" s="19"/>
      <c r="G60" s="19"/>
      <c r="H60" s="22" t="str">
        <f aca="false">IF($A60="","",SUMIFS(Sales!$C$2:$C$1001,Sales!$B$2:$B$1001,$A60))</f>
        <v/>
      </c>
      <c r="I60" s="22" t="str">
        <f aca="false">IF($A60="","",F60-H60)</f>
        <v/>
      </c>
      <c r="J60" s="23" t="str">
        <f aca="false">IF($A60="","",IF(I60&lt;=G60,"Reorder","OK"))</f>
        <v/>
      </c>
      <c r="K60" s="17" t="str">
        <f aca="false">IF($A60="","",SUMIFS(Sales!$H$2:$H$1001,Sales!$B$2:$B$1001,$A60))</f>
        <v/>
      </c>
      <c r="L60" s="17" t="str">
        <f aca="false">IF($A60="","",SUMIFS(Sales!$J$2:$J$1001,Sales!$B$2:$B$1001,$A60))</f>
        <v/>
      </c>
      <c r="M60" s="24" t="str">
        <f aca="false">IF($A60="","",IF(K60=0,0,L60/K60))</f>
        <v/>
      </c>
    </row>
    <row r="61" customFormat="false" ht="15" hidden="false" customHeight="false" outlineLevel="0" collapsed="false">
      <c r="A61" s="19"/>
      <c r="B61" s="19"/>
      <c r="C61" s="19"/>
      <c r="D61" s="21"/>
      <c r="E61" s="21"/>
      <c r="F61" s="19"/>
      <c r="G61" s="19"/>
      <c r="H61" s="22" t="str">
        <f aca="false">IF($A61="","",SUMIFS(Sales!$C$2:$C$1001,Sales!$B$2:$B$1001,$A61))</f>
        <v/>
      </c>
      <c r="I61" s="22" t="str">
        <f aca="false">IF($A61="","",F61-H61)</f>
        <v/>
      </c>
      <c r="J61" s="23" t="str">
        <f aca="false">IF($A61="","",IF(I61&lt;=G61,"Reorder","OK"))</f>
        <v/>
      </c>
      <c r="K61" s="17" t="str">
        <f aca="false">IF($A61="","",SUMIFS(Sales!$H$2:$H$1001,Sales!$B$2:$B$1001,$A61))</f>
        <v/>
      </c>
      <c r="L61" s="17" t="str">
        <f aca="false">IF($A61="","",SUMIFS(Sales!$J$2:$J$1001,Sales!$B$2:$B$1001,$A61))</f>
        <v/>
      </c>
      <c r="M61" s="24" t="str">
        <f aca="false">IF($A61="","",IF(K61=0,0,L61/K61))</f>
        <v/>
      </c>
    </row>
    <row r="62" customFormat="false" ht="15" hidden="false" customHeight="false" outlineLevel="0" collapsed="false">
      <c r="A62" s="19"/>
      <c r="B62" s="19"/>
      <c r="C62" s="19"/>
      <c r="D62" s="21"/>
      <c r="E62" s="21"/>
      <c r="F62" s="19"/>
      <c r="G62" s="19"/>
      <c r="H62" s="22" t="str">
        <f aca="false">IF($A62="","",SUMIFS(Sales!$C$2:$C$1001,Sales!$B$2:$B$1001,$A62))</f>
        <v/>
      </c>
      <c r="I62" s="22" t="str">
        <f aca="false">IF($A62="","",F62-H62)</f>
        <v/>
      </c>
      <c r="J62" s="23" t="str">
        <f aca="false">IF($A62="","",IF(I62&lt;=G62,"Reorder","OK"))</f>
        <v/>
      </c>
      <c r="K62" s="17" t="str">
        <f aca="false">IF($A62="","",SUMIFS(Sales!$H$2:$H$1001,Sales!$B$2:$B$1001,$A62))</f>
        <v/>
      </c>
      <c r="L62" s="17" t="str">
        <f aca="false">IF($A62="","",SUMIFS(Sales!$J$2:$J$1001,Sales!$B$2:$B$1001,$A62))</f>
        <v/>
      </c>
      <c r="M62" s="24" t="str">
        <f aca="false">IF($A62="","",IF(K62=0,0,L62/K62))</f>
        <v/>
      </c>
    </row>
    <row r="63" customFormat="false" ht="15" hidden="false" customHeight="false" outlineLevel="0" collapsed="false">
      <c r="A63" s="19"/>
      <c r="B63" s="19"/>
      <c r="C63" s="19"/>
      <c r="D63" s="21"/>
      <c r="E63" s="21"/>
      <c r="F63" s="19"/>
      <c r="G63" s="19"/>
      <c r="H63" s="22" t="str">
        <f aca="false">IF($A63="","",SUMIFS(Sales!$C$2:$C$1001,Sales!$B$2:$B$1001,$A63))</f>
        <v/>
      </c>
      <c r="I63" s="22" t="str">
        <f aca="false">IF($A63="","",F63-H63)</f>
        <v/>
      </c>
      <c r="J63" s="23" t="str">
        <f aca="false">IF($A63="","",IF(I63&lt;=G63,"Reorder","OK"))</f>
        <v/>
      </c>
      <c r="K63" s="17" t="str">
        <f aca="false">IF($A63="","",SUMIFS(Sales!$H$2:$H$1001,Sales!$B$2:$B$1001,$A63))</f>
        <v/>
      </c>
      <c r="L63" s="17" t="str">
        <f aca="false">IF($A63="","",SUMIFS(Sales!$J$2:$J$1001,Sales!$B$2:$B$1001,$A63))</f>
        <v/>
      </c>
      <c r="M63" s="24" t="str">
        <f aca="false">IF($A63="","",IF(K63=0,0,L63/K63))</f>
        <v/>
      </c>
    </row>
    <row r="64" customFormat="false" ht="15" hidden="false" customHeight="false" outlineLevel="0" collapsed="false">
      <c r="A64" s="19"/>
      <c r="B64" s="19"/>
      <c r="C64" s="19"/>
      <c r="D64" s="21"/>
      <c r="E64" s="21"/>
      <c r="F64" s="19"/>
      <c r="G64" s="19"/>
      <c r="H64" s="22" t="str">
        <f aca="false">IF($A64="","",SUMIFS(Sales!$C$2:$C$1001,Sales!$B$2:$B$1001,$A64))</f>
        <v/>
      </c>
      <c r="I64" s="22" t="str">
        <f aca="false">IF($A64="","",F64-H64)</f>
        <v/>
      </c>
      <c r="J64" s="23" t="str">
        <f aca="false">IF($A64="","",IF(I64&lt;=G64,"Reorder","OK"))</f>
        <v/>
      </c>
      <c r="K64" s="17" t="str">
        <f aca="false">IF($A64="","",SUMIFS(Sales!$H$2:$H$1001,Sales!$B$2:$B$1001,$A64))</f>
        <v/>
      </c>
      <c r="L64" s="17" t="str">
        <f aca="false">IF($A64="","",SUMIFS(Sales!$J$2:$J$1001,Sales!$B$2:$B$1001,$A64))</f>
        <v/>
      </c>
      <c r="M64" s="24" t="str">
        <f aca="false">IF($A64="","",IF(K64=0,0,L64/K64))</f>
        <v/>
      </c>
    </row>
    <row r="65" customFormat="false" ht="15" hidden="false" customHeight="false" outlineLevel="0" collapsed="false">
      <c r="A65" s="19"/>
      <c r="B65" s="19"/>
      <c r="C65" s="19"/>
      <c r="D65" s="21"/>
      <c r="E65" s="21"/>
      <c r="F65" s="19"/>
      <c r="G65" s="19"/>
      <c r="H65" s="22" t="str">
        <f aca="false">IF($A65="","",SUMIFS(Sales!$C$2:$C$1001,Sales!$B$2:$B$1001,$A65))</f>
        <v/>
      </c>
      <c r="I65" s="22" t="str">
        <f aca="false">IF($A65="","",F65-H65)</f>
        <v/>
      </c>
      <c r="J65" s="23" t="str">
        <f aca="false">IF($A65="","",IF(I65&lt;=G65,"Reorder","OK"))</f>
        <v/>
      </c>
      <c r="K65" s="17" t="str">
        <f aca="false">IF($A65="","",SUMIFS(Sales!$H$2:$H$1001,Sales!$B$2:$B$1001,$A65))</f>
        <v/>
      </c>
      <c r="L65" s="17" t="str">
        <f aca="false">IF($A65="","",SUMIFS(Sales!$J$2:$J$1001,Sales!$B$2:$B$1001,$A65))</f>
        <v/>
      </c>
      <c r="M65" s="24" t="str">
        <f aca="false">IF($A65="","",IF(K65=0,0,L65/K65))</f>
        <v/>
      </c>
    </row>
    <row r="66" customFormat="false" ht="15" hidden="false" customHeight="false" outlineLevel="0" collapsed="false">
      <c r="A66" s="19"/>
      <c r="B66" s="19"/>
      <c r="C66" s="19"/>
      <c r="D66" s="21"/>
      <c r="E66" s="21"/>
      <c r="F66" s="19"/>
      <c r="G66" s="19"/>
      <c r="H66" s="22" t="str">
        <f aca="false">IF($A66="","",SUMIFS(Sales!$C$2:$C$1001,Sales!$B$2:$B$1001,$A66))</f>
        <v/>
      </c>
      <c r="I66" s="22" t="str">
        <f aca="false">IF($A66="","",F66-H66)</f>
        <v/>
      </c>
      <c r="J66" s="23" t="str">
        <f aca="false">IF($A66="","",IF(I66&lt;=G66,"Reorder","OK"))</f>
        <v/>
      </c>
      <c r="K66" s="17" t="str">
        <f aca="false">IF($A66="","",SUMIFS(Sales!$H$2:$H$1001,Sales!$B$2:$B$1001,$A66))</f>
        <v/>
      </c>
      <c r="L66" s="17" t="str">
        <f aca="false">IF($A66="","",SUMIFS(Sales!$J$2:$J$1001,Sales!$B$2:$B$1001,$A66))</f>
        <v/>
      </c>
      <c r="M66" s="24" t="str">
        <f aca="false">IF($A66="","",IF(K66=0,0,L66/K66))</f>
        <v/>
      </c>
    </row>
    <row r="67" customFormat="false" ht="15" hidden="false" customHeight="false" outlineLevel="0" collapsed="false">
      <c r="A67" s="19"/>
      <c r="B67" s="19"/>
      <c r="C67" s="19"/>
      <c r="D67" s="21"/>
      <c r="E67" s="21"/>
      <c r="F67" s="19"/>
      <c r="G67" s="19"/>
      <c r="H67" s="22" t="str">
        <f aca="false">IF($A67="","",SUMIFS(Sales!$C$2:$C$1001,Sales!$B$2:$B$1001,$A67))</f>
        <v/>
      </c>
      <c r="I67" s="22" t="str">
        <f aca="false">IF($A67="","",F67-H67)</f>
        <v/>
      </c>
      <c r="J67" s="23" t="str">
        <f aca="false">IF($A67="","",IF(I67&lt;=G67,"Reorder","OK"))</f>
        <v/>
      </c>
      <c r="K67" s="17" t="str">
        <f aca="false">IF($A67="","",SUMIFS(Sales!$H$2:$H$1001,Sales!$B$2:$B$1001,$A67))</f>
        <v/>
      </c>
      <c r="L67" s="17" t="str">
        <f aca="false">IF($A67="","",SUMIFS(Sales!$J$2:$J$1001,Sales!$B$2:$B$1001,$A67))</f>
        <v/>
      </c>
      <c r="M67" s="24" t="str">
        <f aca="false">IF($A67="","",IF(K67=0,0,L67/K67))</f>
        <v/>
      </c>
    </row>
    <row r="68" customFormat="false" ht="15" hidden="false" customHeight="false" outlineLevel="0" collapsed="false">
      <c r="A68" s="19"/>
      <c r="B68" s="19"/>
      <c r="C68" s="19"/>
      <c r="D68" s="21"/>
      <c r="E68" s="21"/>
      <c r="F68" s="19"/>
      <c r="G68" s="19"/>
      <c r="H68" s="22" t="str">
        <f aca="false">IF($A68="","",SUMIFS(Sales!$C$2:$C$1001,Sales!$B$2:$B$1001,$A68))</f>
        <v/>
      </c>
      <c r="I68" s="22" t="str">
        <f aca="false">IF($A68="","",F68-H68)</f>
        <v/>
      </c>
      <c r="J68" s="23" t="str">
        <f aca="false">IF($A68="","",IF(I68&lt;=G68,"Reorder","OK"))</f>
        <v/>
      </c>
      <c r="K68" s="17" t="str">
        <f aca="false">IF($A68="","",SUMIFS(Sales!$H$2:$H$1001,Sales!$B$2:$B$1001,$A68))</f>
        <v/>
      </c>
      <c r="L68" s="17" t="str">
        <f aca="false">IF($A68="","",SUMIFS(Sales!$J$2:$J$1001,Sales!$B$2:$B$1001,$A68))</f>
        <v/>
      </c>
      <c r="M68" s="24" t="str">
        <f aca="false">IF($A68="","",IF(K68=0,0,L68/K68))</f>
        <v/>
      </c>
    </row>
    <row r="69" customFormat="false" ht="15" hidden="false" customHeight="false" outlineLevel="0" collapsed="false">
      <c r="A69" s="19"/>
      <c r="B69" s="19"/>
      <c r="C69" s="19"/>
      <c r="D69" s="21"/>
      <c r="E69" s="21"/>
      <c r="F69" s="19"/>
      <c r="G69" s="19"/>
      <c r="H69" s="22" t="str">
        <f aca="false">IF($A69="","",SUMIFS(Sales!$C$2:$C$1001,Sales!$B$2:$B$1001,$A69))</f>
        <v/>
      </c>
      <c r="I69" s="22" t="str">
        <f aca="false">IF($A69="","",F69-H69)</f>
        <v/>
      </c>
      <c r="J69" s="23" t="str">
        <f aca="false">IF($A69="","",IF(I69&lt;=G69,"Reorder","OK"))</f>
        <v/>
      </c>
      <c r="K69" s="17" t="str">
        <f aca="false">IF($A69="","",SUMIFS(Sales!$H$2:$H$1001,Sales!$B$2:$B$1001,$A69))</f>
        <v/>
      </c>
      <c r="L69" s="17" t="str">
        <f aca="false">IF($A69="","",SUMIFS(Sales!$J$2:$J$1001,Sales!$B$2:$B$1001,$A69))</f>
        <v/>
      </c>
      <c r="M69" s="24" t="str">
        <f aca="false">IF($A69="","",IF(K69=0,0,L69/K69))</f>
        <v/>
      </c>
    </row>
    <row r="70" customFormat="false" ht="15" hidden="false" customHeight="false" outlineLevel="0" collapsed="false">
      <c r="A70" s="19"/>
      <c r="B70" s="19"/>
      <c r="C70" s="19"/>
      <c r="D70" s="21"/>
      <c r="E70" s="21"/>
      <c r="F70" s="19"/>
      <c r="G70" s="19"/>
      <c r="H70" s="22" t="str">
        <f aca="false">IF($A70="","",SUMIFS(Sales!$C$2:$C$1001,Sales!$B$2:$B$1001,$A70))</f>
        <v/>
      </c>
      <c r="I70" s="22" t="str">
        <f aca="false">IF($A70="","",F70-H70)</f>
        <v/>
      </c>
      <c r="J70" s="23" t="str">
        <f aca="false">IF($A70="","",IF(I70&lt;=G70,"Reorder","OK"))</f>
        <v/>
      </c>
      <c r="K70" s="17" t="str">
        <f aca="false">IF($A70="","",SUMIFS(Sales!$H$2:$H$1001,Sales!$B$2:$B$1001,$A70))</f>
        <v/>
      </c>
      <c r="L70" s="17" t="str">
        <f aca="false">IF($A70="","",SUMIFS(Sales!$J$2:$J$1001,Sales!$B$2:$B$1001,$A70))</f>
        <v/>
      </c>
      <c r="M70" s="24" t="str">
        <f aca="false">IF($A70="","",IF(K70=0,0,L70/K70))</f>
        <v/>
      </c>
    </row>
    <row r="71" customFormat="false" ht="15" hidden="false" customHeight="false" outlineLevel="0" collapsed="false">
      <c r="A71" s="19"/>
      <c r="B71" s="19"/>
      <c r="C71" s="19"/>
      <c r="D71" s="21"/>
      <c r="E71" s="21"/>
      <c r="F71" s="19"/>
      <c r="G71" s="19"/>
      <c r="H71" s="22" t="str">
        <f aca="false">IF($A71="","",SUMIFS(Sales!$C$2:$C$1001,Sales!$B$2:$B$1001,$A71))</f>
        <v/>
      </c>
      <c r="I71" s="22" t="str">
        <f aca="false">IF($A71="","",F71-H71)</f>
        <v/>
      </c>
      <c r="J71" s="23" t="str">
        <f aca="false">IF($A71="","",IF(I71&lt;=G71,"Reorder","OK"))</f>
        <v/>
      </c>
      <c r="K71" s="17" t="str">
        <f aca="false">IF($A71="","",SUMIFS(Sales!$H$2:$H$1001,Sales!$B$2:$B$1001,$A71))</f>
        <v/>
      </c>
      <c r="L71" s="17" t="str">
        <f aca="false">IF($A71="","",SUMIFS(Sales!$J$2:$J$1001,Sales!$B$2:$B$1001,$A71))</f>
        <v/>
      </c>
      <c r="M71" s="24" t="str">
        <f aca="false">IF($A71="","",IF(K71=0,0,L71/K71))</f>
        <v/>
      </c>
    </row>
    <row r="72" customFormat="false" ht="15" hidden="false" customHeight="false" outlineLevel="0" collapsed="false">
      <c r="A72" s="19"/>
      <c r="B72" s="19"/>
      <c r="C72" s="19"/>
      <c r="D72" s="21"/>
      <c r="E72" s="21"/>
      <c r="F72" s="19"/>
      <c r="G72" s="19"/>
      <c r="H72" s="22" t="str">
        <f aca="false">IF($A72="","",SUMIFS(Sales!$C$2:$C$1001,Sales!$B$2:$B$1001,$A72))</f>
        <v/>
      </c>
      <c r="I72" s="22" t="str">
        <f aca="false">IF($A72="","",F72-H72)</f>
        <v/>
      </c>
      <c r="J72" s="23" t="str">
        <f aca="false">IF($A72="","",IF(I72&lt;=G72,"Reorder","OK"))</f>
        <v/>
      </c>
      <c r="K72" s="17" t="str">
        <f aca="false">IF($A72="","",SUMIFS(Sales!$H$2:$H$1001,Sales!$B$2:$B$1001,$A72))</f>
        <v/>
      </c>
      <c r="L72" s="17" t="str">
        <f aca="false">IF($A72="","",SUMIFS(Sales!$J$2:$J$1001,Sales!$B$2:$B$1001,$A72))</f>
        <v/>
      </c>
      <c r="M72" s="24" t="str">
        <f aca="false">IF($A72="","",IF(K72=0,0,L72/K72))</f>
        <v/>
      </c>
    </row>
    <row r="73" customFormat="false" ht="15" hidden="false" customHeight="false" outlineLevel="0" collapsed="false">
      <c r="A73" s="19"/>
      <c r="B73" s="19"/>
      <c r="C73" s="19"/>
      <c r="D73" s="21"/>
      <c r="E73" s="21"/>
      <c r="F73" s="19"/>
      <c r="G73" s="19"/>
      <c r="H73" s="22" t="str">
        <f aca="false">IF($A73="","",SUMIFS(Sales!$C$2:$C$1001,Sales!$B$2:$B$1001,$A73))</f>
        <v/>
      </c>
      <c r="I73" s="22" t="str">
        <f aca="false">IF($A73="","",F73-H73)</f>
        <v/>
      </c>
      <c r="J73" s="23" t="str">
        <f aca="false">IF($A73="","",IF(I73&lt;=G73,"Reorder","OK"))</f>
        <v/>
      </c>
      <c r="K73" s="17" t="str">
        <f aca="false">IF($A73="","",SUMIFS(Sales!$H$2:$H$1001,Sales!$B$2:$B$1001,$A73))</f>
        <v/>
      </c>
      <c r="L73" s="17" t="str">
        <f aca="false">IF($A73="","",SUMIFS(Sales!$J$2:$J$1001,Sales!$B$2:$B$1001,$A73))</f>
        <v/>
      </c>
      <c r="M73" s="24" t="str">
        <f aca="false">IF($A73="","",IF(K73=0,0,L73/K73))</f>
        <v/>
      </c>
    </row>
    <row r="74" customFormat="false" ht="15" hidden="false" customHeight="false" outlineLevel="0" collapsed="false">
      <c r="A74" s="19"/>
      <c r="B74" s="19"/>
      <c r="C74" s="19"/>
      <c r="D74" s="21"/>
      <c r="E74" s="21"/>
      <c r="F74" s="19"/>
      <c r="G74" s="19"/>
      <c r="H74" s="22" t="str">
        <f aca="false">IF($A74="","",SUMIFS(Sales!$C$2:$C$1001,Sales!$B$2:$B$1001,$A74))</f>
        <v/>
      </c>
      <c r="I74" s="22" t="str">
        <f aca="false">IF($A74="","",F74-H74)</f>
        <v/>
      </c>
      <c r="J74" s="23" t="str">
        <f aca="false">IF($A74="","",IF(I74&lt;=G74,"Reorder","OK"))</f>
        <v/>
      </c>
      <c r="K74" s="17" t="str">
        <f aca="false">IF($A74="","",SUMIFS(Sales!$H$2:$H$1001,Sales!$B$2:$B$1001,$A74))</f>
        <v/>
      </c>
      <c r="L74" s="17" t="str">
        <f aca="false">IF($A74="","",SUMIFS(Sales!$J$2:$J$1001,Sales!$B$2:$B$1001,$A74))</f>
        <v/>
      </c>
      <c r="M74" s="24" t="str">
        <f aca="false">IF($A74="","",IF(K74=0,0,L74/K74))</f>
        <v/>
      </c>
    </row>
    <row r="75" customFormat="false" ht="15" hidden="false" customHeight="false" outlineLevel="0" collapsed="false">
      <c r="A75" s="19"/>
      <c r="B75" s="19"/>
      <c r="C75" s="19"/>
      <c r="D75" s="21"/>
      <c r="E75" s="21"/>
      <c r="F75" s="19"/>
      <c r="G75" s="19"/>
      <c r="H75" s="22" t="str">
        <f aca="false">IF($A75="","",SUMIFS(Sales!$C$2:$C$1001,Sales!$B$2:$B$1001,$A75))</f>
        <v/>
      </c>
      <c r="I75" s="22" t="str">
        <f aca="false">IF($A75="","",F75-H75)</f>
        <v/>
      </c>
      <c r="J75" s="23" t="str">
        <f aca="false">IF($A75="","",IF(I75&lt;=G75,"Reorder","OK"))</f>
        <v/>
      </c>
      <c r="K75" s="17" t="str">
        <f aca="false">IF($A75="","",SUMIFS(Sales!$H$2:$H$1001,Sales!$B$2:$B$1001,$A75))</f>
        <v/>
      </c>
      <c r="L75" s="17" t="str">
        <f aca="false">IF($A75="","",SUMIFS(Sales!$J$2:$J$1001,Sales!$B$2:$B$1001,$A75))</f>
        <v/>
      </c>
      <c r="M75" s="24" t="str">
        <f aca="false">IF($A75="","",IF(K75=0,0,L75/K75))</f>
        <v/>
      </c>
    </row>
    <row r="76" customFormat="false" ht="15" hidden="false" customHeight="false" outlineLevel="0" collapsed="false">
      <c r="A76" s="19"/>
      <c r="B76" s="19"/>
      <c r="C76" s="19"/>
      <c r="D76" s="21"/>
      <c r="E76" s="21"/>
      <c r="F76" s="19"/>
      <c r="G76" s="19"/>
      <c r="H76" s="22" t="str">
        <f aca="false">IF($A76="","",SUMIFS(Sales!$C$2:$C$1001,Sales!$B$2:$B$1001,$A76))</f>
        <v/>
      </c>
      <c r="I76" s="22" t="str">
        <f aca="false">IF($A76="","",F76-H76)</f>
        <v/>
      </c>
      <c r="J76" s="23" t="str">
        <f aca="false">IF($A76="","",IF(I76&lt;=G76,"Reorder","OK"))</f>
        <v/>
      </c>
      <c r="K76" s="17" t="str">
        <f aca="false">IF($A76="","",SUMIFS(Sales!$H$2:$H$1001,Sales!$B$2:$B$1001,$A76))</f>
        <v/>
      </c>
      <c r="L76" s="17" t="str">
        <f aca="false">IF($A76="","",SUMIFS(Sales!$J$2:$J$1001,Sales!$B$2:$B$1001,$A76))</f>
        <v/>
      </c>
      <c r="M76" s="24" t="str">
        <f aca="false">IF($A76="","",IF(K76=0,0,L76/K76))</f>
        <v/>
      </c>
    </row>
    <row r="77" customFormat="false" ht="15" hidden="false" customHeight="false" outlineLevel="0" collapsed="false">
      <c r="A77" s="19"/>
      <c r="B77" s="19"/>
      <c r="C77" s="19"/>
      <c r="D77" s="21"/>
      <c r="E77" s="21"/>
      <c r="F77" s="19"/>
      <c r="G77" s="19"/>
      <c r="H77" s="22" t="str">
        <f aca="false">IF($A77="","",SUMIFS(Sales!$C$2:$C$1001,Sales!$B$2:$B$1001,$A77))</f>
        <v/>
      </c>
      <c r="I77" s="22" t="str">
        <f aca="false">IF($A77="","",F77-H77)</f>
        <v/>
      </c>
      <c r="J77" s="23" t="str">
        <f aca="false">IF($A77="","",IF(I77&lt;=G77,"Reorder","OK"))</f>
        <v/>
      </c>
      <c r="K77" s="17" t="str">
        <f aca="false">IF($A77="","",SUMIFS(Sales!$H$2:$H$1001,Sales!$B$2:$B$1001,$A77))</f>
        <v/>
      </c>
      <c r="L77" s="17" t="str">
        <f aca="false">IF($A77="","",SUMIFS(Sales!$J$2:$J$1001,Sales!$B$2:$B$1001,$A77))</f>
        <v/>
      </c>
      <c r="M77" s="24" t="str">
        <f aca="false">IF($A77="","",IF(K77=0,0,L77/K77))</f>
        <v/>
      </c>
    </row>
    <row r="78" customFormat="false" ht="15" hidden="false" customHeight="false" outlineLevel="0" collapsed="false">
      <c r="A78" s="19"/>
      <c r="B78" s="19"/>
      <c r="C78" s="19"/>
      <c r="D78" s="21"/>
      <c r="E78" s="21"/>
      <c r="F78" s="19"/>
      <c r="G78" s="19"/>
      <c r="H78" s="22" t="str">
        <f aca="false">IF($A78="","",SUMIFS(Sales!$C$2:$C$1001,Sales!$B$2:$B$1001,$A78))</f>
        <v/>
      </c>
      <c r="I78" s="22" t="str">
        <f aca="false">IF($A78="","",F78-H78)</f>
        <v/>
      </c>
      <c r="J78" s="23" t="str">
        <f aca="false">IF($A78="","",IF(I78&lt;=G78,"Reorder","OK"))</f>
        <v/>
      </c>
      <c r="K78" s="17" t="str">
        <f aca="false">IF($A78="","",SUMIFS(Sales!$H$2:$H$1001,Sales!$B$2:$B$1001,$A78))</f>
        <v/>
      </c>
      <c r="L78" s="17" t="str">
        <f aca="false">IF($A78="","",SUMIFS(Sales!$J$2:$J$1001,Sales!$B$2:$B$1001,$A78))</f>
        <v/>
      </c>
      <c r="M78" s="24" t="str">
        <f aca="false">IF($A78="","",IF(K78=0,0,L78/K78))</f>
        <v/>
      </c>
    </row>
    <row r="79" customFormat="false" ht="15" hidden="false" customHeight="false" outlineLevel="0" collapsed="false">
      <c r="A79" s="19"/>
      <c r="B79" s="19"/>
      <c r="C79" s="19"/>
      <c r="D79" s="21"/>
      <c r="E79" s="21"/>
      <c r="F79" s="19"/>
      <c r="G79" s="19"/>
      <c r="H79" s="22" t="str">
        <f aca="false">IF($A79="","",SUMIFS(Sales!$C$2:$C$1001,Sales!$B$2:$B$1001,$A79))</f>
        <v/>
      </c>
      <c r="I79" s="22" t="str">
        <f aca="false">IF($A79="","",F79-H79)</f>
        <v/>
      </c>
      <c r="J79" s="23" t="str">
        <f aca="false">IF($A79="","",IF(I79&lt;=G79,"Reorder","OK"))</f>
        <v/>
      </c>
      <c r="K79" s="17" t="str">
        <f aca="false">IF($A79="","",SUMIFS(Sales!$H$2:$H$1001,Sales!$B$2:$B$1001,$A79))</f>
        <v/>
      </c>
      <c r="L79" s="17" t="str">
        <f aca="false">IF($A79="","",SUMIFS(Sales!$J$2:$J$1001,Sales!$B$2:$B$1001,$A79))</f>
        <v/>
      </c>
      <c r="M79" s="24" t="str">
        <f aca="false">IF($A79="","",IF(K79=0,0,L79/K79))</f>
        <v/>
      </c>
    </row>
    <row r="80" customFormat="false" ht="15" hidden="false" customHeight="false" outlineLevel="0" collapsed="false">
      <c r="A80" s="19"/>
      <c r="B80" s="19"/>
      <c r="C80" s="19"/>
      <c r="D80" s="21"/>
      <c r="E80" s="21"/>
      <c r="F80" s="19"/>
      <c r="G80" s="19"/>
      <c r="H80" s="22" t="str">
        <f aca="false">IF($A80="","",SUMIFS(Sales!$C$2:$C$1001,Sales!$B$2:$B$1001,$A80))</f>
        <v/>
      </c>
      <c r="I80" s="22" t="str">
        <f aca="false">IF($A80="","",F80-H80)</f>
        <v/>
      </c>
      <c r="J80" s="23" t="str">
        <f aca="false">IF($A80="","",IF(I80&lt;=G80,"Reorder","OK"))</f>
        <v/>
      </c>
      <c r="K80" s="17" t="str">
        <f aca="false">IF($A80="","",SUMIFS(Sales!$H$2:$H$1001,Sales!$B$2:$B$1001,$A80))</f>
        <v/>
      </c>
      <c r="L80" s="17" t="str">
        <f aca="false">IF($A80="","",SUMIFS(Sales!$J$2:$J$1001,Sales!$B$2:$B$1001,$A80))</f>
        <v/>
      </c>
      <c r="M80" s="24" t="str">
        <f aca="false">IF($A80="","",IF(K80=0,0,L80/K80))</f>
        <v/>
      </c>
    </row>
    <row r="81" customFormat="false" ht="15" hidden="false" customHeight="false" outlineLevel="0" collapsed="false">
      <c r="A81" s="19"/>
      <c r="B81" s="19"/>
      <c r="C81" s="19"/>
      <c r="D81" s="21"/>
      <c r="E81" s="21"/>
      <c r="F81" s="19"/>
      <c r="G81" s="19"/>
      <c r="H81" s="22" t="str">
        <f aca="false">IF($A81="","",SUMIFS(Sales!$C$2:$C$1001,Sales!$B$2:$B$1001,$A81))</f>
        <v/>
      </c>
      <c r="I81" s="22" t="str">
        <f aca="false">IF($A81="","",F81-H81)</f>
        <v/>
      </c>
      <c r="J81" s="23" t="str">
        <f aca="false">IF($A81="","",IF(I81&lt;=G81,"Reorder","OK"))</f>
        <v/>
      </c>
      <c r="K81" s="17" t="str">
        <f aca="false">IF($A81="","",SUMIFS(Sales!$H$2:$H$1001,Sales!$B$2:$B$1001,$A81))</f>
        <v/>
      </c>
      <c r="L81" s="17" t="str">
        <f aca="false">IF($A81="","",SUMIFS(Sales!$J$2:$J$1001,Sales!$B$2:$B$1001,$A81))</f>
        <v/>
      </c>
      <c r="M81" s="24" t="str">
        <f aca="false">IF($A81="","",IF(K81=0,0,L81/K81))</f>
        <v/>
      </c>
    </row>
    <row r="82" customFormat="false" ht="15" hidden="false" customHeight="false" outlineLevel="0" collapsed="false">
      <c r="A82" s="19"/>
      <c r="B82" s="19"/>
      <c r="C82" s="19"/>
      <c r="D82" s="21"/>
      <c r="E82" s="21"/>
      <c r="F82" s="19"/>
      <c r="G82" s="19"/>
      <c r="H82" s="22" t="str">
        <f aca="false">IF($A82="","",SUMIFS(Sales!$C$2:$C$1001,Sales!$B$2:$B$1001,$A82))</f>
        <v/>
      </c>
      <c r="I82" s="22" t="str">
        <f aca="false">IF($A82="","",F82-H82)</f>
        <v/>
      </c>
      <c r="J82" s="23" t="str">
        <f aca="false">IF($A82="","",IF(I82&lt;=G82,"Reorder","OK"))</f>
        <v/>
      </c>
      <c r="K82" s="17" t="str">
        <f aca="false">IF($A82="","",SUMIFS(Sales!$H$2:$H$1001,Sales!$B$2:$B$1001,$A82))</f>
        <v/>
      </c>
      <c r="L82" s="17" t="str">
        <f aca="false">IF($A82="","",SUMIFS(Sales!$J$2:$J$1001,Sales!$B$2:$B$1001,$A82))</f>
        <v/>
      </c>
      <c r="M82" s="24" t="str">
        <f aca="false">IF($A82="","",IF(K82=0,0,L82/K82))</f>
        <v/>
      </c>
    </row>
    <row r="83" customFormat="false" ht="15" hidden="false" customHeight="false" outlineLevel="0" collapsed="false">
      <c r="A83" s="19"/>
      <c r="B83" s="19"/>
      <c r="C83" s="19"/>
      <c r="D83" s="21"/>
      <c r="E83" s="21"/>
      <c r="F83" s="19"/>
      <c r="G83" s="19"/>
      <c r="H83" s="22" t="str">
        <f aca="false">IF($A83="","",SUMIFS(Sales!$C$2:$C$1001,Sales!$B$2:$B$1001,$A83))</f>
        <v/>
      </c>
      <c r="I83" s="22" t="str">
        <f aca="false">IF($A83="","",F83-H83)</f>
        <v/>
      </c>
      <c r="J83" s="23" t="str">
        <f aca="false">IF($A83="","",IF(I83&lt;=G83,"Reorder","OK"))</f>
        <v/>
      </c>
      <c r="K83" s="17" t="str">
        <f aca="false">IF($A83="","",SUMIFS(Sales!$H$2:$H$1001,Sales!$B$2:$B$1001,$A83))</f>
        <v/>
      </c>
      <c r="L83" s="17" t="str">
        <f aca="false">IF($A83="","",SUMIFS(Sales!$J$2:$J$1001,Sales!$B$2:$B$1001,$A83))</f>
        <v/>
      </c>
      <c r="M83" s="24" t="str">
        <f aca="false">IF($A83="","",IF(K83=0,0,L83/K83))</f>
        <v/>
      </c>
    </row>
    <row r="84" customFormat="false" ht="15" hidden="false" customHeight="false" outlineLevel="0" collapsed="false">
      <c r="A84" s="19"/>
      <c r="B84" s="19"/>
      <c r="C84" s="19"/>
      <c r="D84" s="21"/>
      <c r="E84" s="21"/>
      <c r="F84" s="19"/>
      <c r="G84" s="19"/>
      <c r="H84" s="22" t="str">
        <f aca="false">IF($A84="","",SUMIFS(Sales!$C$2:$C$1001,Sales!$B$2:$B$1001,$A84))</f>
        <v/>
      </c>
      <c r="I84" s="22" t="str">
        <f aca="false">IF($A84="","",F84-H84)</f>
        <v/>
      </c>
      <c r="J84" s="23" t="str">
        <f aca="false">IF($A84="","",IF(I84&lt;=G84,"Reorder","OK"))</f>
        <v/>
      </c>
      <c r="K84" s="17" t="str">
        <f aca="false">IF($A84="","",SUMIFS(Sales!$H$2:$H$1001,Sales!$B$2:$B$1001,$A84))</f>
        <v/>
      </c>
      <c r="L84" s="17" t="str">
        <f aca="false">IF($A84="","",SUMIFS(Sales!$J$2:$J$1001,Sales!$B$2:$B$1001,$A84))</f>
        <v/>
      </c>
      <c r="M84" s="24" t="str">
        <f aca="false">IF($A84="","",IF(K84=0,0,L84/K84))</f>
        <v/>
      </c>
    </row>
    <row r="85" customFormat="false" ht="15" hidden="false" customHeight="false" outlineLevel="0" collapsed="false">
      <c r="A85" s="19"/>
      <c r="B85" s="19"/>
      <c r="C85" s="19"/>
      <c r="D85" s="21"/>
      <c r="E85" s="21"/>
      <c r="F85" s="19"/>
      <c r="G85" s="19"/>
      <c r="H85" s="22" t="str">
        <f aca="false">IF($A85="","",SUMIFS(Sales!$C$2:$C$1001,Sales!$B$2:$B$1001,$A85))</f>
        <v/>
      </c>
      <c r="I85" s="22" t="str">
        <f aca="false">IF($A85="","",F85-H85)</f>
        <v/>
      </c>
      <c r="J85" s="23" t="str">
        <f aca="false">IF($A85="","",IF(I85&lt;=G85,"Reorder","OK"))</f>
        <v/>
      </c>
      <c r="K85" s="17" t="str">
        <f aca="false">IF($A85="","",SUMIFS(Sales!$H$2:$H$1001,Sales!$B$2:$B$1001,$A85))</f>
        <v/>
      </c>
      <c r="L85" s="17" t="str">
        <f aca="false">IF($A85="","",SUMIFS(Sales!$J$2:$J$1001,Sales!$B$2:$B$1001,$A85))</f>
        <v/>
      </c>
      <c r="M85" s="24" t="str">
        <f aca="false">IF($A85="","",IF(K85=0,0,L85/K85))</f>
        <v/>
      </c>
    </row>
    <row r="86" customFormat="false" ht="15" hidden="false" customHeight="false" outlineLevel="0" collapsed="false">
      <c r="A86" s="19"/>
      <c r="B86" s="19"/>
      <c r="C86" s="19"/>
      <c r="D86" s="21"/>
      <c r="E86" s="21"/>
      <c r="F86" s="19"/>
      <c r="G86" s="19"/>
      <c r="H86" s="22" t="str">
        <f aca="false">IF($A86="","",SUMIFS(Sales!$C$2:$C$1001,Sales!$B$2:$B$1001,$A86))</f>
        <v/>
      </c>
      <c r="I86" s="22" t="str">
        <f aca="false">IF($A86="","",F86-H86)</f>
        <v/>
      </c>
      <c r="J86" s="23" t="str">
        <f aca="false">IF($A86="","",IF(I86&lt;=G86,"Reorder","OK"))</f>
        <v/>
      </c>
      <c r="K86" s="17" t="str">
        <f aca="false">IF($A86="","",SUMIFS(Sales!$H$2:$H$1001,Sales!$B$2:$B$1001,$A86))</f>
        <v/>
      </c>
      <c r="L86" s="17" t="str">
        <f aca="false">IF($A86="","",SUMIFS(Sales!$J$2:$J$1001,Sales!$B$2:$B$1001,$A86))</f>
        <v/>
      </c>
      <c r="M86" s="24" t="str">
        <f aca="false">IF($A86="","",IF(K86=0,0,L86/K86))</f>
        <v/>
      </c>
    </row>
    <row r="87" customFormat="false" ht="15" hidden="false" customHeight="false" outlineLevel="0" collapsed="false">
      <c r="A87" s="19"/>
      <c r="B87" s="19"/>
      <c r="C87" s="19"/>
      <c r="D87" s="21"/>
      <c r="E87" s="21"/>
      <c r="F87" s="19"/>
      <c r="G87" s="19"/>
      <c r="H87" s="22" t="str">
        <f aca="false">IF($A87="","",SUMIFS(Sales!$C$2:$C$1001,Sales!$B$2:$B$1001,$A87))</f>
        <v/>
      </c>
      <c r="I87" s="22" t="str">
        <f aca="false">IF($A87="","",F87-H87)</f>
        <v/>
      </c>
      <c r="J87" s="23" t="str">
        <f aca="false">IF($A87="","",IF(I87&lt;=G87,"Reorder","OK"))</f>
        <v/>
      </c>
      <c r="K87" s="17" t="str">
        <f aca="false">IF($A87="","",SUMIFS(Sales!$H$2:$H$1001,Sales!$B$2:$B$1001,$A87))</f>
        <v/>
      </c>
      <c r="L87" s="17" t="str">
        <f aca="false">IF($A87="","",SUMIFS(Sales!$J$2:$J$1001,Sales!$B$2:$B$1001,$A87))</f>
        <v/>
      </c>
      <c r="M87" s="24" t="str">
        <f aca="false">IF($A87="","",IF(K87=0,0,L87/K87))</f>
        <v/>
      </c>
    </row>
    <row r="88" customFormat="false" ht="15" hidden="false" customHeight="false" outlineLevel="0" collapsed="false">
      <c r="A88" s="19"/>
      <c r="B88" s="19"/>
      <c r="C88" s="19"/>
      <c r="D88" s="21"/>
      <c r="E88" s="21"/>
      <c r="F88" s="19"/>
      <c r="G88" s="19"/>
      <c r="H88" s="22" t="str">
        <f aca="false">IF($A88="","",SUMIFS(Sales!$C$2:$C$1001,Sales!$B$2:$B$1001,$A88))</f>
        <v/>
      </c>
      <c r="I88" s="22" t="str">
        <f aca="false">IF($A88="","",F88-H88)</f>
        <v/>
      </c>
      <c r="J88" s="23" t="str">
        <f aca="false">IF($A88="","",IF(I88&lt;=G88,"Reorder","OK"))</f>
        <v/>
      </c>
      <c r="K88" s="17" t="str">
        <f aca="false">IF($A88="","",SUMIFS(Sales!$H$2:$H$1001,Sales!$B$2:$B$1001,$A88))</f>
        <v/>
      </c>
      <c r="L88" s="17" t="str">
        <f aca="false">IF($A88="","",SUMIFS(Sales!$J$2:$J$1001,Sales!$B$2:$B$1001,$A88))</f>
        <v/>
      </c>
      <c r="M88" s="24" t="str">
        <f aca="false">IF($A88="","",IF(K88=0,0,L88/K88))</f>
        <v/>
      </c>
    </row>
    <row r="89" customFormat="false" ht="15" hidden="false" customHeight="false" outlineLevel="0" collapsed="false">
      <c r="A89" s="19"/>
      <c r="B89" s="19"/>
      <c r="C89" s="19"/>
      <c r="D89" s="21"/>
      <c r="E89" s="21"/>
      <c r="F89" s="19"/>
      <c r="G89" s="19"/>
      <c r="H89" s="22" t="str">
        <f aca="false">IF($A89="","",SUMIFS(Sales!$C$2:$C$1001,Sales!$B$2:$B$1001,$A89))</f>
        <v/>
      </c>
      <c r="I89" s="22" t="str">
        <f aca="false">IF($A89="","",F89-H89)</f>
        <v/>
      </c>
      <c r="J89" s="23" t="str">
        <f aca="false">IF($A89="","",IF(I89&lt;=G89,"Reorder","OK"))</f>
        <v/>
      </c>
      <c r="K89" s="17" t="str">
        <f aca="false">IF($A89="","",SUMIFS(Sales!$H$2:$H$1001,Sales!$B$2:$B$1001,$A89))</f>
        <v/>
      </c>
      <c r="L89" s="17" t="str">
        <f aca="false">IF($A89="","",SUMIFS(Sales!$J$2:$J$1001,Sales!$B$2:$B$1001,$A89))</f>
        <v/>
      </c>
      <c r="M89" s="24" t="str">
        <f aca="false">IF($A89="","",IF(K89=0,0,L89/K89))</f>
        <v/>
      </c>
    </row>
    <row r="90" customFormat="false" ht="15" hidden="false" customHeight="false" outlineLevel="0" collapsed="false">
      <c r="A90" s="19"/>
      <c r="B90" s="19"/>
      <c r="C90" s="19"/>
      <c r="D90" s="21"/>
      <c r="E90" s="21"/>
      <c r="F90" s="19"/>
      <c r="G90" s="19"/>
      <c r="H90" s="22" t="str">
        <f aca="false">IF($A90="","",SUMIFS(Sales!$C$2:$C$1001,Sales!$B$2:$B$1001,$A90))</f>
        <v/>
      </c>
      <c r="I90" s="22" t="str">
        <f aca="false">IF($A90="","",F90-H90)</f>
        <v/>
      </c>
      <c r="J90" s="23" t="str">
        <f aca="false">IF($A90="","",IF(I90&lt;=G90,"Reorder","OK"))</f>
        <v/>
      </c>
      <c r="K90" s="17" t="str">
        <f aca="false">IF($A90="","",SUMIFS(Sales!$H$2:$H$1001,Sales!$B$2:$B$1001,$A90))</f>
        <v/>
      </c>
      <c r="L90" s="17" t="str">
        <f aca="false">IF($A90="","",SUMIFS(Sales!$J$2:$J$1001,Sales!$B$2:$B$1001,$A90))</f>
        <v/>
      </c>
      <c r="M90" s="24" t="str">
        <f aca="false">IF($A90="","",IF(K90=0,0,L90/K90))</f>
        <v/>
      </c>
    </row>
    <row r="91" customFormat="false" ht="15" hidden="false" customHeight="false" outlineLevel="0" collapsed="false">
      <c r="A91" s="19"/>
      <c r="B91" s="19"/>
      <c r="C91" s="19"/>
      <c r="D91" s="21"/>
      <c r="E91" s="21"/>
      <c r="F91" s="19"/>
      <c r="G91" s="19"/>
      <c r="H91" s="22" t="str">
        <f aca="false">IF($A91="","",SUMIFS(Sales!$C$2:$C$1001,Sales!$B$2:$B$1001,$A91))</f>
        <v/>
      </c>
      <c r="I91" s="22" t="str">
        <f aca="false">IF($A91="","",F91-H91)</f>
        <v/>
      </c>
      <c r="J91" s="23" t="str">
        <f aca="false">IF($A91="","",IF(I91&lt;=G91,"Reorder","OK"))</f>
        <v/>
      </c>
      <c r="K91" s="17" t="str">
        <f aca="false">IF($A91="","",SUMIFS(Sales!$H$2:$H$1001,Sales!$B$2:$B$1001,$A91))</f>
        <v/>
      </c>
      <c r="L91" s="17" t="str">
        <f aca="false">IF($A91="","",SUMIFS(Sales!$J$2:$J$1001,Sales!$B$2:$B$1001,$A91))</f>
        <v/>
      </c>
      <c r="M91" s="24" t="str">
        <f aca="false">IF($A91="","",IF(K91=0,0,L91/K91))</f>
        <v/>
      </c>
    </row>
    <row r="92" customFormat="false" ht="15" hidden="false" customHeight="false" outlineLevel="0" collapsed="false">
      <c r="A92" s="19"/>
      <c r="B92" s="19"/>
      <c r="C92" s="19"/>
      <c r="D92" s="21"/>
      <c r="E92" s="21"/>
      <c r="F92" s="19"/>
      <c r="G92" s="19"/>
      <c r="H92" s="22" t="str">
        <f aca="false">IF($A92="","",SUMIFS(Sales!$C$2:$C$1001,Sales!$B$2:$B$1001,$A92))</f>
        <v/>
      </c>
      <c r="I92" s="22" t="str">
        <f aca="false">IF($A92="","",F92-H92)</f>
        <v/>
      </c>
      <c r="J92" s="23" t="str">
        <f aca="false">IF($A92="","",IF(I92&lt;=G92,"Reorder","OK"))</f>
        <v/>
      </c>
      <c r="K92" s="17" t="str">
        <f aca="false">IF($A92="","",SUMIFS(Sales!$H$2:$H$1001,Sales!$B$2:$B$1001,$A92))</f>
        <v/>
      </c>
      <c r="L92" s="17" t="str">
        <f aca="false">IF($A92="","",SUMIFS(Sales!$J$2:$J$1001,Sales!$B$2:$B$1001,$A92))</f>
        <v/>
      </c>
      <c r="M92" s="24" t="str">
        <f aca="false">IF($A92="","",IF(K92=0,0,L92/K92))</f>
        <v/>
      </c>
    </row>
    <row r="93" customFormat="false" ht="15" hidden="false" customHeight="false" outlineLevel="0" collapsed="false">
      <c r="A93" s="19"/>
      <c r="B93" s="19"/>
      <c r="C93" s="19"/>
      <c r="D93" s="21"/>
      <c r="E93" s="21"/>
      <c r="F93" s="19"/>
      <c r="G93" s="19"/>
      <c r="H93" s="22" t="str">
        <f aca="false">IF($A93="","",SUMIFS(Sales!$C$2:$C$1001,Sales!$B$2:$B$1001,$A93))</f>
        <v/>
      </c>
      <c r="I93" s="22" t="str">
        <f aca="false">IF($A93="","",F93-H93)</f>
        <v/>
      </c>
      <c r="J93" s="23" t="str">
        <f aca="false">IF($A93="","",IF(I93&lt;=G93,"Reorder","OK"))</f>
        <v/>
      </c>
      <c r="K93" s="17" t="str">
        <f aca="false">IF($A93="","",SUMIFS(Sales!$H$2:$H$1001,Sales!$B$2:$B$1001,$A93))</f>
        <v/>
      </c>
      <c r="L93" s="17" t="str">
        <f aca="false">IF($A93="","",SUMIFS(Sales!$J$2:$J$1001,Sales!$B$2:$B$1001,$A93))</f>
        <v/>
      </c>
      <c r="M93" s="24" t="str">
        <f aca="false">IF($A93="","",IF(K93=0,0,L93/K93))</f>
        <v/>
      </c>
    </row>
    <row r="94" customFormat="false" ht="15" hidden="false" customHeight="false" outlineLevel="0" collapsed="false">
      <c r="A94" s="19"/>
      <c r="B94" s="19"/>
      <c r="C94" s="19"/>
      <c r="D94" s="21"/>
      <c r="E94" s="21"/>
      <c r="F94" s="19"/>
      <c r="G94" s="19"/>
      <c r="H94" s="22" t="str">
        <f aca="false">IF($A94="","",SUMIFS(Sales!$C$2:$C$1001,Sales!$B$2:$B$1001,$A94))</f>
        <v/>
      </c>
      <c r="I94" s="22" t="str">
        <f aca="false">IF($A94="","",F94-H94)</f>
        <v/>
      </c>
      <c r="J94" s="23" t="str">
        <f aca="false">IF($A94="","",IF(I94&lt;=G94,"Reorder","OK"))</f>
        <v/>
      </c>
      <c r="K94" s="17" t="str">
        <f aca="false">IF($A94="","",SUMIFS(Sales!$H$2:$H$1001,Sales!$B$2:$B$1001,$A94))</f>
        <v/>
      </c>
      <c r="L94" s="17" t="str">
        <f aca="false">IF($A94="","",SUMIFS(Sales!$J$2:$J$1001,Sales!$B$2:$B$1001,$A94))</f>
        <v/>
      </c>
      <c r="M94" s="24" t="str">
        <f aca="false">IF($A94="","",IF(K94=0,0,L94/K94))</f>
        <v/>
      </c>
    </row>
    <row r="95" customFormat="false" ht="15" hidden="false" customHeight="false" outlineLevel="0" collapsed="false">
      <c r="A95" s="19"/>
      <c r="B95" s="19"/>
      <c r="C95" s="19"/>
      <c r="D95" s="21"/>
      <c r="E95" s="21"/>
      <c r="F95" s="19"/>
      <c r="G95" s="19"/>
      <c r="H95" s="22" t="str">
        <f aca="false">IF($A95="","",SUMIFS(Sales!$C$2:$C$1001,Sales!$B$2:$B$1001,$A95))</f>
        <v/>
      </c>
      <c r="I95" s="22" t="str">
        <f aca="false">IF($A95="","",F95-H95)</f>
        <v/>
      </c>
      <c r="J95" s="23" t="str">
        <f aca="false">IF($A95="","",IF(I95&lt;=G95,"Reorder","OK"))</f>
        <v/>
      </c>
      <c r="K95" s="17" t="str">
        <f aca="false">IF($A95="","",SUMIFS(Sales!$H$2:$H$1001,Sales!$B$2:$B$1001,$A95))</f>
        <v/>
      </c>
      <c r="L95" s="17" t="str">
        <f aca="false">IF($A95="","",SUMIFS(Sales!$J$2:$J$1001,Sales!$B$2:$B$1001,$A95))</f>
        <v/>
      </c>
      <c r="M95" s="24" t="str">
        <f aca="false">IF($A95="","",IF(K95=0,0,L95/K95))</f>
        <v/>
      </c>
    </row>
    <row r="96" customFormat="false" ht="15" hidden="false" customHeight="false" outlineLevel="0" collapsed="false">
      <c r="A96" s="19"/>
      <c r="B96" s="19"/>
      <c r="C96" s="19"/>
      <c r="D96" s="21"/>
      <c r="E96" s="21"/>
      <c r="F96" s="19"/>
      <c r="G96" s="19"/>
      <c r="H96" s="22" t="str">
        <f aca="false">IF($A96="","",SUMIFS(Sales!$C$2:$C$1001,Sales!$B$2:$B$1001,$A96))</f>
        <v/>
      </c>
      <c r="I96" s="22" t="str">
        <f aca="false">IF($A96="","",F96-H96)</f>
        <v/>
      </c>
      <c r="J96" s="23" t="str">
        <f aca="false">IF($A96="","",IF(I96&lt;=G96,"Reorder","OK"))</f>
        <v/>
      </c>
      <c r="K96" s="17" t="str">
        <f aca="false">IF($A96="","",SUMIFS(Sales!$H$2:$H$1001,Sales!$B$2:$B$1001,$A96))</f>
        <v/>
      </c>
      <c r="L96" s="17" t="str">
        <f aca="false">IF($A96="","",SUMIFS(Sales!$J$2:$J$1001,Sales!$B$2:$B$1001,$A96))</f>
        <v/>
      </c>
      <c r="M96" s="24" t="str">
        <f aca="false">IF($A96="","",IF(K96=0,0,L96/K96))</f>
        <v/>
      </c>
    </row>
    <row r="97" customFormat="false" ht="15" hidden="false" customHeight="false" outlineLevel="0" collapsed="false">
      <c r="A97" s="19"/>
      <c r="B97" s="19"/>
      <c r="C97" s="19"/>
      <c r="D97" s="21"/>
      <c r="E97" s="21"/>
      <c r="F97" s="19"/>
      <c r="G97" s="19"/>
      <c r="H97" s="22" t="str">
        <f aca="false">IF($A97="","",SUMIFS(Sales!$C$2:$C$1001,Sales!$B$2:$B$1001,$A97))</f>
        <v/>
      </c>
      <c r="I97" s="22" t="str">
        <f aca="false">IF($A97="","",F97-H97)</f>
        <v/>
      </c>
      <c r="J97" s="23" t="str">
        <f aca="false">IF($A97="","",IF(I97&lt;=G97,"Reorder","OK"))</f>
        <v/>
      </c>
      <c r="K97" s="17" t="str">
        <f aca="false">IF($A97="","",SUMIFS(Sales!$H$2:$H$1001,Sales!$B$2:$B$1001,$A97))</f>
        <v/>
      </c>
      <c r="L97" s="17" t="str">
        <f aca="false">IF($A97="","",SUMIFS(Sales!$J$2:$J$1001,Sales!$B$2:$B$1001,$A97))</f>
        <v/>
      </c>
      <c r="M97" s="24" t="str">
        <f aca="false">IF($A97="","",IF(K97=0,0,L97/K97))</f>
        <v/>
      </c>
    </row>
    <row r="98" customFormat="false" ht="15" hidden="false" customHeight="false" outlineLevel="0" collapsed="false">
      <c r="A98" s="19"/>
      <c r="B98" s="19"/>
      <c r="C98" s="19"/>
      <c r="D98" s="21"/>
      <c r="E98" s="21"/>
      <c r="F98" s="19"/>
      <c r="G98" s="19"/>
      <c r="H98" s="22" t="str">
        <f aca="false">IF($A98="","",SUMIFS(Sales!$C$2:$C$1001,Sales!$B$2:$B$1001,$A98))</f>
        <v/>
      </c>
      <c r="I98" s="22" t="str">
        <f aca="false">IF($A98="","",F98-H98)</f>
        <v/>
      </c>
      <c r="J98" s="23" t="str">
        <f aca="false">IF($A98="","",IF(I98&lt;=G98,"Reorder","OK"))</f>
        <v/>
      </c>
      <c r="K98" s="17" t="str">
        <f aca="false">IF($A98="","",SUMIFS(Sales!$H$2:$H$1001,Sales!$B$2:$B$1001,$A98))</f>
        <v/>
      </c>
      <c r="L98" s="17" t="str">
        <f aca="false">IF($A98="","",SUMIFS(Sales!$J$2:$J$1001,Sales!$B$2:$B$1001,$A98))</f>
        <v/>
      </c>
      <c r="M98" s="24" t="str">
        <f aca="false">IF($A98="","",IF(K98=0,0,L98/K98))</f>
        <v/>
      </c>
    </row>
    <row r="99" customFormat="false" ht="15" hidden="false" customHeight="false" outlineLevel="0" collapsed="false">
      <c r="A99" s="19"/>
      <c r="B99" s="19"/>
      <c r="C99" s="19"/>
      <c r="D99" s="21"/>
      <c r="E99" s="21"/>
      <c r="F99" s="19"/>
      <c r="G99" s="19"/>
      <c r="H99" s="22" t="str">
        <f aca="false">IF($A99="","",SUMIFS(Sales!$C$2:$C$1001,Sales!$B$2:$B$1001,$A99))</f>
        <v/>
      </c>
      <c r="I99" s="22" t="str">
        <f aca="false">IF($A99="","",F99-H99)</f>
        <v/>
      </c>
      <c r="J99" s="23" t="str">
        <f aca="false">IF($A99="","",IF(I99&lt;=G99,"Reorder","OK"))</f>
        <v/>
      </c>
      <c r="K99" s="17" t="str">
        <f aca="false">IF($A99="","",SUMIFS(Sales!$H$2:$H$1001,Sales!$B$2:$B$1001,$A99))</f>
        <v/>
      </c>
      <c r="L99" s="17" t="str">
        <f aca="false">IF($A99="","",SUMIFS(Sales!$J$2:$J$1001,Sales!$B$2:$B$1001,$A99))</f>
        <v/>
      </c>
      <c r="M99" s="24" t="str">
        <f aca="false">IF($A99="","",IF(K99=0,0,L99/K99))</f>
        <v/>
      </c>
    </row>
    <row r="100" customFormat="false" ht="15" hidden="false" customHeight="false" outlineLevel="0" collapsed="false">
      <c r="A100" s="19"/>
      <c r="B100" s="19"/>
      <c r="C100" s="19"/>
      <c r="D100" s="21"/>
      <c r="E100" s="21"/>
      <c r="F100" s="19"/>
      <c r="G100" s="19"/>
      <c r="H100" s="22" t="str">
        <f aca="false">IF($A100="","",SUMIFS(Sales!$C$2:$C$1001,Sales!$B$2:$B$1001,$A100))</f>
        <v/>
      </c>
      <c r="I100" s="22" t="str">
        <f aca="false">IF($A100="","",F100-H100)</f>
        <v/>
      </c>
      <c r="J100" s="23" t="str">
        <f aca="false">IF($A100="","",IF(I100&lt;=G100,"Reorder","OK"))</f>
        <v/>
      </c>
      <c r="K100" s="17" t="str">
        <f aca="false">IF($A100="","",SUMIFS(Sales!$H$2:$H$1001,Sales!$B$2:$B$1001,$A100))</f>
        <v/>
      </c>
      <c r="L100" s="17" t="str">
        <f aca="false">IF($A100="","",SUMIFS(Sales!$J$2:$J$1001,Sales!$B$2:$B$1001,$A100))</f>
        <v/>
      </c>
      <c r="M100" s="24" t="str">
        <f aca="false">IF($A100="","",IF(K100=0,0,L100/K100))</f>
        <v/>
      </c>
    </row>
    <row r="101" customFormat="false" ht="15" hidden="false" customHeight="false" outlineLevel="0" collapsed="false">
      <c r="A101" s="19"/>
      <c r="B101" s="19"/>
      <c r="C101" s="19"/>
      <c r="D101" s="21"/>
      <c r="E101" s="21"/>
      <c r="F101" s="19"/>
      <c r="G101" s="19"/>
      <c r="H101" s="22" t="str">
        <f aca="false">IF($A101="","",SUMIFS(Sales!$C$2:$C$1001,Sales!$B$2:$B$1001,$A101))</f>
        <v/>
      </c>
      <c r="I101" s="22" t="str">
        <f aca="false">IF($A101="","",F101-H101)</f>
        <v/>
      </c>
      <c r="J101" s="23" t="str">
        <f aca="false">IF($A101="","",IF(I101&lt;=G101,"Reorder","OK"))</f>
        <v/>
      </c>
      <c r="K101" s="17" t="str">
        <f aca="false">IF($A101="","",SUMIFS(Sales!$H$2:$H$1001,Sales!$B$2:$B$1001,$A101))</f>
        <v/>
      </c>
      <c r="L101" s="17" t="str">
        <f aca="false">IF($A101="","",SUMIFS(Sales!$J$2:$J$1001,Sales!$B$2:$B$1001,$A101))</f>
        <v/>
      </c>
      <c r="M101" s="24" t="str">
        <f aca="false">IF($A101="","",IF(K101=0,0,L101/K101))</f>
        <v/>
      </c>
    </row>
    <row r="102" customFormat="false" ht="15" hidden="false" customHeight="false" outlineLevel="0" collapsed="false">
      <c r="A102" s="19"/>
      <c r="B102" s="19"/>
      <c r="C102" s="19"/>
      <c r="D102" s="21"/>
      <c r="E102" s="21"/>
      <c r="F102" s="19"/>
      <c r="G102" s="19"/>
      <c r="H102" s="22" t="str">
        <f aca="false">IF($A102="","",SUMIFS(Sales!$C$2:$C$1001,Sales!$B$2:$B$1001,$A102))</f>
        <v/>
      </c>
      <c r="I102" s="22" t="str">
        <f aca="false">IF($A102="","",F102-H102)</f>
        <v/>
      </c>
      <c r="J102" s="23" t="str">
        <f aca="false">IF($A102="","",IF(I102&lt;=G102,"Reorder","OK"))</f>
        <v/>
      </c>
      <c r="K102" s="17" t="str">
        <f aca="false">IF($A102="","",SUMIFS(Sales!$H$2:$H$1001,Sales!$B$2:$B$1001,$A102))</f>
        <v/>
      </c>
      <c r="L102" s="17" t="str">
        <f aca="false">IF($A102="","",SUMIFS(Sales!$J$2:$J$1001,Sales!$B$2:$B$1001,$A102))</f>
        <v/>
      </c>
      <c r="M102" s="24" t="str">
        <f aca="false">IF($A102="","",IF(K102=0,0,L102/K102))</f>
        <v/>
      </c>
    </row>
    <row r="103" customFormat="false" ht="15" hidden="false" customHeight="false" outlineLevel="0" collapsed="false">
      <c r="A103" s="19"/>
      <c r="B103" s="19"/>
      <c r="C103" s="19"/>
      <c r="D103" s="21"/>
      <c r="E103" s="21"/>
      <c r="F103" s="19"/>
      <c r="G103" s="19"/>
      <c r="H103" s="22" t="str">
        <f aca="false">IF($A103="","",SUMIFS(Sales!$C$2:$C$1001,Sales!$B$2:$B$1001,$A103))</f>
        <v/>
      </c>
      <c r="I103" s="22" t="str">
        <f aca="false">IF($A103="","",F103-H103)</f>
        <v/>
      </c>
      <c r="J103" s="23" t="str">
        <f aca="false">IF($A103="","",IF(I103&lt;=G103,"Reorder","OK"))</f>
        <v/>
      </c>
      <c r="K103" s="17" t="str">
        <f aca="false">IF($A103="","",SUMIFS(Sales!$H$2:$H$1001,Sales!$B$2:$B$1001,$A103))</f>
        <v/>
      </c>
      <c r="L103" s="17" t="str">
        <f aca="false">IF($A103="","",SUMIFS(Sales!$J$2:$J$1001,Sales!$B$2:$B$1001,$A103))</f>
        <v/>
      </c>
      <c r="M103" s="24" t="str">
        <f aca="false">IF($A103="","",IF(K103=0,0,L103/K103))</f>
        <v/>
      </c>
    </row>
    <row r="104" customFormat="false" ht="15" hidden="false" customHeight="false" outlineLevel="0" collapsed="false">
      <c r="A104" s="19"/>
      <c r="B104" s="19"/>
      <c r="C104" s="19"/>
      <c r="D104" s="21"/>
      <c r="E104" s="21"/>
      <c r="F104" s="19"/>
      <c r="G104" s="19"/>
      <c r="H104" s="22" t="str">
        <f aca="false">IF($A104="","",SUMIFS(Sales!$C$2:$C$1001,Sales!$B$2:$B$1001,$A104))</f>
        <v/>
      </c>
      <c r="I104" s="22" t="str">
        <f aca="false">IF($A104="","",F104-H104)</f>
        <v/>
      </c>
      <c r="J104" s="23" t="str">
        <f aca="false">IF($A104="","",IF(I104&lt;=G104,"Reorder","OK"))</f>
        <v/>
      </c>
      <c r="K104" s="17" t="str">
        <f aca="false">IF($A104="","",SUMIFS(Sales!$H$2:$H$1001,Sales!$B$2:$B$1001,$A104))</f>
        <v/>
      </c>
      <c r="L104" s="17" t="str">
        <f aca="false">IF($A104="","",SUMIFS(Sales!$J$2:$J$1001,Sales!$B$2:$B$1001,$A104))</f>
        <v/>
      </c>
      <c r="M104" s="24" t="str">
        <f aca="false">IF($A104="","",IF(K104=0,0,L104/K104))</f>
        <v/>
      </c>
    </row>
    <row r="105" customFormat="false" ht="15" hidden="false" customHeight="false" outlineLevel="0" collapsed="false">
      <c r="A105" s="19"/>
      <c r="B105" s="19"/>
      <c r="C105" s="19"/>
      <c r="D105" s="21"/>
      <c r="E105" s="21"/>
      <c r="F105" s="19"/>
      <c r="G105" s="19"/>
      <c r="H105" s="22" t="str">
        <f aca="false">IF($A105="","",SUMIFS(Sales!$C$2:$C$1001,Sales!$B$2:$B$1001,$A105))</f>
        <v/>
      </c>
      <c r="I105" s="22" t="str">
        <f aca="false">IF($A105="","",F105-H105)</f>
        <v/>
      </c>
      <c r="J105" s="23" t="str">
        <f aca="false">IF($A105="","",IF(I105&lt;=G105,"Reorder","OK"))</f>
        <v/>
      </c>
      <c r="K105" s="17" t="str">
        <f aca="false">IF($A105="","",SUMIFS(Sales!$H$2:$H$1001,Sales!$B$2:$B$1001,$A105))</f>
        <v/>
      </c>
      <c r="L105" s="17" t="str">
        <f aca="false">IF($A105="","",SUMIFS(Sales!$J$2:$J$1001,Sales!$B$2:$B$1001,$A105))</f>
        <v/>
      </c>
      <c r="M105" s="24" t="str">
        <f aca="false">IF($A105="","",IF(K105=0,0,L105/K105))</f>
        <v/>
      </c>
    </row>
    <row r="106" customFormat="false" ht="15" hidden="false" customHeight="false" outlineLevel="0" collapsed="false">
      <c r="A106" s="19"/>
      <c r="B106" s="19"/>
      <c r="C106" s="19"/>
      <c r="D106" s="21"/>
      <c r="E106" s="21"/>
      <c r="F106" s="19"/>
      <c r="G106" s="19"/>
      <c r="H106" s="22" t="str">
        <f aca="false">IF($A106="","",SUMIFS(Sales!$C$2:$C$1001,Sales!$B$2:$B$1001,$A106))</f>
        <v/>
      </c>
      <c r="I106" s="22" t="str">
        <f aca="false">IF($A106="","",F106-H106)</f>
        <v/>
      </c>
      <c r="J106" s="23" t="str">
        <f aca="false">IF($A106="","",IF(I106&lt;=G106,"Reorder","OK"))</f>
        <v/>
      </c>
      <c r="K106" s="17" t="str">
        <f aca="false">IF($A106="","",SUMIFS(Sales!$H$2:$H$1001,Sales!$B$2:$B$1001,$A106))</f>
        <v/>
      </c>
      <c r="L106" s="17" t="str">
        <f aca="false">IF($A106="","",SUMIFS(Sales!$J$2:$J$1001,Sales!$B$2:$B$1001,$A106))</f>
        <v/>
      </c>
      <c r="M106" s="24" t="str">
        <f aca="false">IF($A106="","",IF(K106=0,0,L106/K106))</f>
        <v/>
      </c>
    </row>
    <row r="107" customFormat="false" ht="15" hidden="false" customHeight="false" outlineLevel="0" collapsed="false">
      <c r="A107" s="19"/>
      <c r="B107" s="19"/>
      <c r="C107" s="19"/>
      <c r="D107" s="21"/>
      <c r="E107" s="21"/>
      <c r="F107" s="19"/>
      <c r="G107" s="19"/>
      <c r="H107" s="22" t="str">
        <f aca="false">IF($A107="","",SUMIFS(Sales!$C$2:$C$1001,Sales!$B$2:$B$1001,$A107))</f>
        <v/>
      </c>
      <c r="I107" s="22" t="str">
        <f aca="false">IF($A107="","",F107-H107)</f>
        <v/>
      </c>
      <c r="J107" s="23" t="str">
        <f aca="false">IF($A107="","",IF(I107&lt;=G107,"Reorder","OK"))</f>
        <v/>
      </c>
      <c r="K107" s="17" t="str">
        <f aca="false">IF($A107="","",SUMIFS(Sales!$H$2:$H$1001,Sales!$B$2:$B$1001,$A107))</f>
        <v/>
      </c>
      <c r="L107" s="17" t="str">
        <f aca="false">IF($A107="","",SUMIFS(Sales!$J$2:$J$1001,Sales!$B$2:$B$1001,$A107))</f>
        <v/>
      </c>
      <c r="M107" s="24" t="str">
        <f aca="false">IF($A107="","",IF(K107=0,0,L107/K107))</f>
        <v/>
      </c>
    </row>
    <row r="108" customFormat="false" ht="15" hidden="false" customHeight="false" outlineLevel="0" collapsed="false">
      <c r="A108" s="19"/>
      <c r="B108" s="19"/>
      <c r="C108" s="19"/>
      <c r="D108" s="21"/>
      <c r="E108" s="21"/>
      <c r="F108" s="19"/>
      <c r="G108" s="19"/>
      <c r="H108" s="22" t="str">
        <f aca="false">IF($A108="","",SUMIFS(Sales!$C$2:$C$1001,Sales!$B$2:$B$1001,$A108))</f>
        <v/>
      </c>
      <c r="I108" s="22" t="str">
        <f aca="false">IF($A108="","",F108-H108)</f>
        <v/>
      </c>
      <c r="J108" s="23" t="str">
        <f aca="false">IF($A108="","",IF(I108&lt;=G108,"Reorder","OK"))</f>
        <v/>
      </c>
      <c r="K108" s="17" t="str">
        <f aca="false">IF($A108="","",SUMIFS(Sales!$H$2:$H$1001,Sales!$B$2:$B$1001,$A108))</f>
        <v/>
      </c>
      <c r="L108" s="17" t="str">
        <f aca="false">IF($A108="","",SUMIFS(Sales!$J$2:$J$1001,Sales!$B$2:$B$1001,$A108))</f>
        <v/>
      </c>
      <c r="M108" s="24" t="str">
        <f aca="false">IF($A108="","",IF(K108=0,0,L108/K108))</f>
        <v/>
      </c>
    </row>
    <row r="109" customFormat="false" ht="15" hidden="false" customHeight="false" outlineLevel="0" collapsed="false">
      <c r="A109" s="19"/>
      <c r="B109" s="19"/>
      <c r="C109" s="19"/>
      <c r="D109" s="21"/>
      <c r="E109" s="21"/>
      <c r="F109" s="19"/>
      <c r="G109" s="19"/>
      <c r="H109" s="22" t="str">
        <f aca="false">IF($A109="","",SUMIFS(Sales!$C$2:$C$1001,Sales!$B$2:$B$1001,$A109))</f>
        <v/>
      </c>
      <c r="I109" s="22" t="str">
        <f aca="false">IF($A109="","",F109-H109)</f>
        <v/>
      </c>
      <c r="J109" s="23" t="str">
        <f aca="false">IF($A109="","",IF(I109&lt;=G109,"Reorder","OK"))</f>
        <v/>
      </c>
      <c r="K109" s="17" t="str">
        <f aca="false">IF($A109="","",SUMIFS(Sales!$H$2:$H$1001,Sales!$B$2:$B$1001,$A109))</f>
        <v/>
      </c>
      <c r="L109" s="17" t="str">
        <f aca="false">IF($A109="","",SUMIFS(Sales!$J$2:$J$1001,Sales!$B$2:$B$1001,$A109))</f>
        <v/>
      </c>
      <c r="M109" s="24" t="str">
        <f aca="false">IF($A109="","",IF(K109=0,0,L109/K109))</f>
        <v/>
      </c>
    </row>
    <row r="110" customFormat="false" ht="15" hidden="false" customHeight="false" outlineLevel="0" collapsed="false">
      <c r="A110" s="19"/>
      <c r="B110" s="19"/>
      <c r="C110" s="19"/>
      <c r="D110" s="21"/>
      <c r="E110" s="21"/>
      <c r="F110" s="19"/>
      <c r="G110" s="19"/>
      <c r="H110" s="22" t="str">
        <f aca="false">IF($A110="","",SUMIFS(Sales!$C$2:$C$1001,Sales!$B$2:$B$1001,$A110))</f>
        <v/>
      </c>
      <c r="I110" s="22" t="str">
        <f aca="false">IF($A110="","",F110-H110)</f>
        <v/>
      </c>
      <c r="J110" s="23" t="str">
        <f aca="false">IF($A110="","",IF(I110&lt;=G110,"Reorder","OK"))</f>
        <v/>
      </c>
      <c r="K110" s="17" t="str">
        <f aca="false">IF($A110="","",SUMIFS(Sales!$H$2:$H$1001,Sales!$B$2:$B$1001,$A110))</f>
        <v/>
      </c>
      <c r="L110" s="17" t="str">
        <f aca="false">IF($A110="","",SUMIFS(Sales!$J$2:$J$1001,Sales!$B$2:$B$1001,$A110))</f>
        <v/>
      </c>
      <c r="M110" s="24" t="str">
        <f aca="false">IF($A110="","",IF(K110=0,0,L110/K110))</f>
        <v/>
      </c>
    </row>
    <row r="111" customFormat="false" ht="15" hidden="false" customHeight="false" outlineLevel="0" collapsed="false">
      <c r="A111" s="19"/>
      <c r="B111" s="19"/>
      <c r="C111" s="19"/>
      <c r="D111" s="21"/>
      <c r="E111" s="21"/>
      <c r="F111" s="19"/>
      <c r="G111" s="19"/>
      <c r="H111" s="22" t="str">
        <f aca="false">IF($A111="","",SUMIFS(Sales!$C$2:$C$1001,Sales!$B$2:$B$1001,$A111))</f>
        <v/>
      </c>
      <c r="I111" s="22" t="str">
        <f aca="false">IF($A111="","",F111-H111)</f>
        <v/>
      </c>
      <c r="J111" s="23" t="str">
        <f aca="false">IF($A111="","",IF(I111&lt;=G111,"Reorder","OK"))</f>
        <v/>
      </c>
      <c r="K111" s="17" t="str">
        <f aca="false">IF($A111="","",SUMIFS(Sales!$H$2:$H$1001,Sales!$B$2:$B$1001,$A111))</f>
        <v/>
      </c>
      <c r="L111" s="17" t="str">
        <f aca="false">IF($A111="","",SUMIFS(Sales!$J$2:$J$1001,Sales!$B$2:$B$1001,$A111))</f>
        <v/>
      </c>
      <c r="M111" s="24" t="str">
        <f aca="false">IF($A111="","",IF(K111=0,0,L111/K111))</f>
        <v/>
      </c>
    </row>
    <row r="112" customFormat="false" ht="15" hidden="false" customHeight="false" outlineLevel="0" collapsed="false">
      <c r="A112" s="19"/>
      <c r="B112" s="19"/>
      <c r="C112" s="19"/>
      <c r="D112" s="21"/>
      <c r="E112" s="21"/>
      <c r="F112" s="19"/>
      <c r="G112" s="19"/>
      <c r="H112" s="22" t="str">
        <f aca="false">IF($A112="","",SUMIFS(Sales!$C$2:$C$1001,Sales!$B$2:$B$1001,$A112))</f>
        <v/>
      </c>
      <c r="I112" s="22" t="str">
        <f aca="false">IF($A112="","",F112-H112)</f>
        <v/>
      </c>
      <c r="J112" s="23" t="str">
        <f aca="false">IF($A112="","",IF(I112&lt;=G112,"Reorder","OK"))</f>
        <v/>
      </c>
      <c r="K112" s="17" t="str">
        <f aca="false">IF($A112="","",SUMIFS(Sales!$H$2:$H$1001,Sales!$B$2:$B$1001,$A112))</f>
        <v/>
      </c>
      <c r="L112" s="17" t="str">
        <f aca="false">IF($A112="","",SUMIFS(Sales!$J$2:$J$1001,Sales!$B$2:$B$1001,$A112))</f>
        <v/>
      </c>
      <c r="M112" s="24" t="str">
        <f aca="false">IF($A112="","",IF(K112=0,0,L112/K112))</f>
        <v/>
      </c>
    </row>
    <row r="113" customFormat="false" ht="15" hidden="false" customHeight="false" outlineLevel="0" collapsed="false">
      <c r="A113" s="19"/>
      <c r="B113" s="19"/>
      <c r="C113" s="19"/>
      <c r="D113" s="21"/>
      <c r="E113" s="21"/>
      <c r="F113" s="19"/>
      <c r="G113" s="19"/>
      <c r="H113" s="22" t="str">
        <f aca="false">IF($A113="","",SUMIFS(Sales!$C$2:$C$1001,Sales!$B$2:$B$1001,$A113))</f>
        <v/>
      </c>
      <c r="I113" s="22" t="str">
        <f aca="false">IF($A113="","",F113-H113)</f>
        <v/>
      </c>
      <c r="J113" s="23" t="str">
        <f aca="false">IF($A113="","",IF(I113&lt;=G113,"Reorder","OK"))</f>
        <v/>
      </c>
      <c r="K113" s="17" t="str">
        <f aca="false">IF($A113="","",SUMIFS(Sales!$H$2:$H$1001,Sales!$B$2:$B$1001,$A113))</f>
        <v/>
      </c>
      <c r="L113" s="17" t="str">
        <f aca="false">IF($A113="","",SUMIFS(Sales!$J$2:$J$1001,Sales!$B$2:$B$1001,$A113))</f>
        <v/>
      </c>
      <c r="M113" s="24" t="str">
        <f aca="false">IF($A113="","",IF(K113=0,0,L113/K113))</f>
        <v/>
      </c>
    </row>
    <row r="114" customFormat="false" ht="15" hidden="false" customHeight="false" outlineLevel="0" collapsed="false">
      <c r="A114" s="19"/>
      <c r="B114" s="19"/>
      <c r="C114" s="19"/>
      <c r="D114" s="21"/>
      <c r="E114" s="21"/>
      <c r="F114" s="19"/>
      <c r="G114" s="19"/>
      <c r="H114" s="22" t="str">
        <f aca="false">IF($A114="","",SUMIFS(Sales!$C$2:$C$1001,Sales!$B$2:$B$1001,$A114))</f>
        <v/>
      </c>
      <c r="I114" s="22" t="str">
        <f aca="false">IF($A114="","",F114-H114)</f>
        <v/>
      </c>
      <c r="J114" s="23" t="str">
        <f aca="false">IF($A114="","",IF(I114&lt;=G114,"Reorder","OK"))</f>
        <v/>
      </c>
      <c r="K114" s="17" t="str">
        <f aca="false">IF($A114="","",SUMIFS(Sales!$H$2:$H$1001,Sales!$B$2:$B$1001,$A114))</f>
        <v/>
      </c>
      <c r="L114" s="17" t="str">
        <f aca="false">IF($A114="","",SUMIFS(Sales!$J$2:$J$1001,Sales!$B$2:$B$1001,$A114))</f>
        <v/>
      </c>
      <c r="M114" s="24" t="str">
        <f aca="false">IF($A114="","",IF(K114=0,0,L114/K114))</f>
        <v/>
      </c>
    </row>
    <row r="115" customFormat="false" ht="15" hidden="false" customHeight="false" outlineLevel="0" collapsed="false">
      <c r="A115" s="19"/>
      <c r="B115" s="19"/>
      <c r="C115" s="19"/>
      <c r="D115" s="21"/>
      <c r="E115" s="21"/>
      <c r="F115" s="19"/>
      <c r="G115" s="19"/>
      <c r="H115" s="22" t="str">
        <f aca="false">IF($A115="","",SUMIFS(Sales!$C$2:$C$1001,Sales!$B$2:$B$1001,$A115))</f>
        <v/>
      </c>
      <c r="I115" s="22" t="str">
        <f aca="false">IF($A115="","",F115-H115)</f>
        <v/>
      </c>
      <c r="J115" s="23" t="str">
        <f aca="false">IF($A115="","",IF(I115&lt;=G115,"Reorder","OK"))</f>
        <v/>
      </c>
      <c r="K115" s="17" t="str">
        <f aca="false">IF($A115="","",SUMIFS(Sales!$H$2:$H$1001,Sales!$B$2:$B$1001,$A115))</f>
        <v/>
      </c>
      <c r="L115" s="17" t="str">
        <f aca="false">IF($A115="","",SUMIFS(Sales!$J$2:$J$1001,Sales!$B$2:$B$1001,$A115))</f>
        <v/>
      </c>
      <c r="M115" s="24" t="str">
        <f aca="false">IF($A115="","",IF(K115=0,0,L115/K115))</f>
        <v/>
      </c>
    </row>
    <row r="116" customFormat="false" ht="15" hidden="false" customHeight="false" outlineLevel="0" collapsed="false">
      <c r="A116" s="19"/>
      <c r="B116" s="19"/>
      <c r="C116" s="19"/>
      <c r="D116" s="21"/>
      <c r="E116" s="21"/>
      <c r="F116" s="19"/>
      <c r="G116" s="19"/>
      <c r="H116" s="22" t="str">
        <f aca="false">IF($A116="","",SUMIFS(Sales!$C$2:$C$1001,Sales!$B$2:$B$1001,$A116))</f>
        <v/>
      </c>
      <c r="I116" s="22" t="str">
        <f aca="false">IF($A116="","",F116-H116)</f>
        <v/>
      </c>
      <c r="J116" s="23" t="str">
        <f aca="false">IF($A116="","",IF(I116&lt;=G116,"Reorder","OK"))</f>
        <v/>
      </c>
      <c r="K116" s="17" t="str">
        <f aca="false">IF($A116="","",SUMIFS(Sales!$H$2:$H$1001,Sales!$B$2:$B$1001,$A116))</f>
        <v/>
      </c>
      <c r="L116" s="17" t="str">
        <f aca="false">IF($A116="","",SUMIFS(Sales!$J$2:$J$1001,Sales!$B$2:$B$1001,$A116))</f>
        <v/>
      </c>
      <c r="M116" s="24" t="str">
        <f aca="false">IF($A116="","",IF(K116=0,0,L116/K116))</f>
        <v/>
      </c>
    </row>
    <row r="117" customFormat="false" ht="15" hidden="false" customHeight="false" outlineLevel="0" collapsed="false">
      <c r="A117" s="19"/>
      <c r="B117" s="19"/>
      <c r="C117" s="19"/>
      <c r="D117" s="21"/>
      <c r="E117" s="21"/>
      <c r="F117" s="19"/>
      <c r="G117" s="19"/>
      <c r="H117" s="22" t="str">
        <f aca="false">IF($A117="","",SUMIFS(Sales!$C$2:$C$1001,Sales!$B$2:$B$1001,$A117))</f>
        <v/>
      </c>
      <c r="I117" s="22" t="str">
        <f aca="false">IF($A117="","",F117-H117)</f>
        <v/>
      </c>
      <c r="J117" s="23" t="str">
        <f aca="false">IF($A117="","",IF(I117&lt;=G117,"Reorder","OK"))</f>
        <v/>
      </c>
      <c r="K117" s="17" t="str">
        <f aca="false">IF($A117="","",SUMIFS(Sales!$H$2:$H$1001,Sales!$B$2:$B$1001,$A117))</f>
        <v/>
      </c>
      <c r="L117" s="17" t="str">
        <f aca="false">IF($A117="","",SUMIFS(Sales!$J$2:$J$1001,Sales!$B$2:$B$1001,$A117))</f>
        <v/>
      </c>
      <c r="M117" s="24" t="str">
        <f aca="false">IF($A117="","",IF(K117=0,0,L117/K117))</f>
        <v/>
      </c>
    </row>
    <row r="118" customFormat="false" ht="15" hidden="false" customHeight="false" outlineLevel="0" collapsed="false">
      <c r="A118" s="19"/>
      <c r="B118" s="19"/>
      <c r="C118" s="19"/>
      <c r="D118" s="21"/>
      <c r="E118" s="21"/>
      <c r="F118" s="19"/>
      <c r="G118" s="19"/>
      <c r="H118" s="22" t="str">
        <f aca="false">IF($A118="","",SUMIFS(Sales!$C$2:$C$1001,Sales!$B$2:$B$1001,$A118))</f>
        <v/>
      </c>
      <c r="I118" s="22" t="str">
        <f aca="false">IF($A118="","",F118-H118)</f>
        <v/>
      </c>
      <c r="J118" s="23" t="str">
        <f aca="false">IF($A118="","",IF(I118&lt;=G118,"Reorder","OK"))</f>
        <v/>
      </c>
      <c r="K118" s="17" t="str">
        <f aca="false">IF($A118="","",SUMIFS(Sales!$H$2:$H$1001,Sales!$B$2:$B$1001,$A118))</f>
        <v/>
      </c>
      <c r="L118" s="17" t="str">
        <f aca="false">IF($A118="","",SUMIFS(Sales!$J$2:$J$1001,Sales!$B$2:$B$1001,$A118))</f>
        <v/>
      </c>
      <c r="M118" s="24" t="str">
        <f aca="false">IF($A118="","",IF(K118=0,0,L118/K118))</f>
        <v/>
      </c>
    </row>
    <row r="119" customFormat="false" ht="15" hidden="false" customHeight="false" outlineLevel="0" collapsed="false">
      <c r="A119" s="19"/>
      <c r="B119" s="19"/>
      <c r="C119" s="19"/>
      <c r="D119" s="21"/>
      <c r="E119" s="21"/>
      <c r="F119" s="19"/>
      <c r="G119" s="19"/>
      <c r="H119" s="22" t="str">
        <f aca="false">IF($A119="","",SUMIFS(Sales!$C$2:$C$1001,Sales!$B$2:$B$1001,$A119))</f>
        <v/>
      </c>
      <c r="I119" s="22" t="str">
        <f aca="false">IF($A119="","",F119-H119)</f>
        <v/>
      </c>
      <c r="J119" s="23" t="str">
        <f aca="false">IF($A119="","",IF(I119&lt;=G119,"Reorder","OK"))</f>
        <v/>
      </c>
      <c r="K119" s="17" t="str">
        <f aca="false">IF($A119="","",SUMIFS(Sales!$H$2:$H$1001,Sales!$B$2:$B$1001,$A119))</f>
        <v/>
      </c>
      <c r="L119" s="17" t="str">
        <f aca="false">IF($A119="","",SUMIFS(Sales!$J$2:$J$1001,Sales!$B$2:$B$1001,$A119))</f>
        <v/>
      </c>
      <c r="M119" s="24" t="str">
        <f aca="false">IF($A119="","",IF(K119=0,0,L119/K119))</f>
        <v/>
      </c>
    </row>
    <row r="120" customFormat="false" ht="15" hidden="false" customHeight="false" outlineLevel="0" collapsed="false">
      <c r="A120" s="19"/>
      <c r="B120" s="19"/>
      <c r="C120" s="19"/>
      <c r="D120" s="21"/>
      <c r="E120" s="21"/>
      <c r="F120" s="19"/>
      <c r="G120" s="19"/>
      <c r="H120" s="22" t="str">
        <f aca="false">IF($A120="","",SUMIFS(Sales!$C$2:$C$1001,Sales!$B$2:$B$1001,$A120))</f>
        <v/>
      </c>
      <c r="I120" s="22" t="str">
        <f aca="false">IF($A120="","",F120-H120)</f>
        <v/>
      </c>
      <c r="J120" s="23" t="str">
        <f aca="false">IF($A120="","",IF(I120&lt;=G120,"Reorder","OK"))</f>
        <v/>
      </c>
      <c r="K120" s="17" t="str">
        <f aca="false">IF($A120="","",SUMIFS(Sales!$H$2:$H$1001,Sales!$B$2:$B$1001,$A120))</f>
        <v/>
      </c>
      <c r="L120" s="17" t="str">
        <f aca="false">IF($A120="","",SUMIFS(Sales!$J$2:$J$1001,Sales!$B$2:$B$1001,$A120))</f>
        <v/>
      </c>
      <c r="M120" s="24" t="str">
        <f aca="false">IF($A120="","",IF(K120=0,0,L120/K120))</f>
        <v/>
      </c>
    </row>
    <row r="121" customFormat="false" ht="15" hidden="false" customHeight="false" outlineLevel="0" collapsed="false">
      <c r="A121" s="19"/>
      <c r="B121" s="19"/>
      <c r="C121" s="19"/>
      <c r="D121" s="21"/>
      <c r="E121" s="21"/>
      <c r="F121" s="19"/>
      <c r="G121" s="19"/>
      <c r="H121" s="22" t="str">
        <f aca="false">IF($A121="","",SUMIFS(Sales!$C$2:$C$1001,Sales!$B$2:$B$1001,$A121))</f>
        <v/>
      </c>
      <c r="I121" s="22" t="str">
        <f aca="false">IF($A121="","",F121-H121)</f>
        <v/>
      </c>
      <c r="J121" s="23" t="str">
        <f aca="false">IF($A121="","",IF(I121&lt;=G121,"Reorder","OK"))</f>
        <v/>
      </c>
      <c r="K121" s="17" t="str">
        <f aca="false">IF($A121="","",SUMIFS(Sales!$H$2:$H$1001,Sales!$B$2:$B$1001,$A121))</f>
        <v/>
      </c>
      <c r="L121" s="17" t="str">
        <f aca="false">IF($A121="","",SUMIFS(Sales!$J$2:$J$1001,Sales!$B$2:$B$1001,$A121))</f>
        <v/>
      </c>
      <c r="M121" s="24" t="str">
        <f aca="false">IF($A121="","",IF(K121=0,0,L121/K121))</f>
        <v/>
      </c>
    </row>
    <row r="122" customFormat="false" ht="15" hidden="false" customHeight="false" outlineLevel="0" collapsed="false">
      <c r="A122" s="19"/>
      <c r="B122" s="19"/>
      <c r="C122" s="19"/>
      <c r="D122" s="21"/>
      <c r="E122" s="21"/>
      <c r="F122" s="19"/>
      <c r="G122" s="19"/>
      <c r="H122" s="22" t="str">
        <f aca="false">IF($A122="","",SUMIFS(Sales!$C$2:$C$1001,Sales!$B$2:$B$1001,$A122))</f>
        <v/>
      </c>
      <c r="I122" s="22" t="str">
        <f aca="false">IF($A122="","",F122-H122)</f>
        <v/>
      </c>
      <c r="J122" s="23" t="str">
        <f aca="false">IF($A122="","",IF(I122&lt;=G122,"Reorder","OK"))</f>
        <v/>
      </c>
      <c r="K122" s="17" t="str">
        <f aca="false">IF($A122="","",SUMIFS(Sales!$H$2:$H$1001,Sales!$B$2:$B$1001,$A122))</f>
        <v/>
      </c>
      <c r="L122" s="17" t="str">
        <f aca="false">IF($A122="","",SUMIFS(Sales!$J$2:$J$1001,Sales!$B$2:$B$1001,$A122))</f>
        <v/>
      </c>
      <c r="M122" s="24" t="str">
        <f aca="false">IF($A122="","",IF(K122=0,0,L122/K122))</f>
        <v/>
      </c>
    </row>
    <row r="123" customFormat="false" ht="15" hidden="false" customHeight="false" outlineLevel="0" collapsed="false">
      <c r="A123" s="19"/>
      <c r="B123" s="19"/>
      <c r="C123" s="19"/>
      <c r="D123" s="21"/>
      <c r="E123" s="21"/>
      <c r="F123" s="19"/>
      <c r="G123" s="19"/>
      <c r="H123" s="22" t="str">
        <f aca="false">IF($A123="","",SUMIFS(Sales!$C$2:$C$1001,Sales!$B$2:$B$1001,$A123))</f>
        <v/>
      </c>
      <c r="I123" s="22" t="str">
        <f aca="false">IF($A123="","",F123-H123)</f>
        <v/>
      </c>
      <c r="J123" s="23" t="str">
        <f aca="false">IF($A123="","",IF(I123&lt;=G123,"Reorder","OK"))</f>
        <v/>
      </c>
      <c r="K123" s="17" t="str">
        <f aca="false">IF($A123="","",SUMIFS(Sales!$H$2:$H$1001,Sales!$B$2:$B$1001,$A123))</f>
        <v/>
      </c>
      <c r="L123" s="17" t="str">
        <f aca="false">IF($A123="","",SUMIFS(Sales!$J$2:$J$1001,Sales!$B$2:$B$1001,$A123))</f>
        <v/>
      </c>
      <c r="M123" s="24" t="str">
        <f aca="false">IF($A123="","",IF(K123=0,0,L123/K123))</f>
        <v/>
      </c>
    </row>
    <row r="124" customFormat="false" ht="15" hidden="false" customHeight="false" outlineLevel="0" collapsed="false">
      <c r="A124" s="19"/>
      <c r="B124" s="19"/>
      <c r="C124" s="19"/>
      <c r="D124" s="21"/>
      <c r="E124" s="21"/>
      <c r="F124" s="19"/>
      <c r="G124" s="19"/>
      <c r="H124" s="22" t="str">
        <f aca="false">IF($A124="","",SUMIFS(Sales!$C$2:$C$1001,Sales!$B$2:$B$1001,$A124))</f>
        <v/>
      </c>
      <c r="I124" s="22" t="str">
        <f aca="false">IF($A124="","",F124-H124)</f>
        <v/>
      </c>
      <c r="J124" s="23" t="str">
        <f aca="false">IF($A124="","",IF(I124&lt;=G124,"Reorder","OK"))</f>
        <v/>
      </c>
      <c r="K124" s="17" t="str">
        <f aca="false">IF($A124="","",SUMIFS(Sales!$H$2:$H$1001,Sales!$B$2:$B$1001,$A124))</f>
        <v/>
      </c>
      <c r="L124" s="17" t="str">
        <f aca="false">IF($A124="","",SUMIFS(Sales!$J$2:$J$1001,Sales!$B$2:$B$1001,$A124))</f>
        <v/>
      </c>
      <c r="M124" s="24" t="str">
        <f aca="false">IF($A124="","",IF(K124=0,0,L124/K124))</f>
        <v/>
      </c>
    </row>
    <row r="125" customFormat="false" ht="15" hidden="false" customHeight="false" outlineLevel="0" collapsed="false">
      <c r="A125" s="19"/>
      <c r="B125" s="19"/>
      <c r="C125" s="19"/>
      <c r="D125" s="21"/>
      <c r="E125" s="21"/>
      <c r="F125" s="19"/>
      <c r="G125" s="19"/>
      <c r="H125" s="22" t="str">
        <f aca="false">IF($A125="","",SUMIFS(Sales!$C$2:$C$1001,Sales!$B$2:$B$1001,$A125))</f>
        <v/>
      </c>
      <c r="I125" s="22" t="str">
        <f aca="false">IF($A125="","",F125-H125)</f>
        <v/>
      </c>
      <c r="J125" s="23" t="str">
        <f aca="false">IF($A125="","",IF(I125&lt;=G125,"Reorder","OK"))</f>
        <v/>
      </c>
      <c r="K125" s="17" t="str">
        <f aca="false">IF($A125="","",SUMIFS(Sales!$H$2:$H$1001,Sales!$B$2:$B$1001,$A125))</f>
        <v/>
      </c>
      <c r="L125" s="17" t="str">
        <f aca="false">IF($A125="","",SUMIFS(Sales!$J$2:$J$1001,Sales!$B$2:$B$1001,$A125))</f>
        <v/>
      </c>
      <c r="M125" s="24" t="str">
        <f aca="false">IF($A125="","",IF(K125=0,0,L125/K125))</f>
        <v/>
      </c>
    </row>
    <row r="126" customFormat="false" ht="15" hidden="false" customHeight="false" outlineLevel="0" collapsed="false">
      <c r="A126" s="19"/>
      <c r="B126" s="19"/>
      <c r="C126" s="19"/>
      <c r="D126" s="21"/>
      <c r="E126" s="21"/>
      <c r="F126" s="19"/>
      <c r="G126" s="19"/>
      <c r="H126" s="22" t="str">
        <f aca="false">IF($A126="","",SUMIFS(Sales!$C$2:$C$1001,Sales!$B$2:$B$1001,$A126))</f>
        <v/>
      </c>
      <c r="I126" s="22" t="str">
        <f aca="false">IF($A126="","",F126-H126)</f>
        <v/>
      </c>
      <c r="J126" s="23" t="str">
        <f aca="false">IF($A126="","",IF(I126&lt;=G126,"Reorder","OK"))</f>
        <v/>
      </c>
      <c r="K126" s="17" t="str">
        <f aca="false">IF($A126="","",SUMIFS(Sales!$H$2:$H$1001,Sales!$B$2:$B$1001,$A126))</f>
        <v/>
      </c>
      <c r="L126" s="17" t="str">
        <f aca="false">IF($A126="","",SUMIFS(Sales!$J$2:$J$1001,Sales!$B$2:$B$1001,$A126))</f>
        <v/>
      </c>
      <c r="M126" s="24" t="str">
        <f aca="false">IF($A126="","",IF(K126=0,0,L126/K126))</f>
        <v/>
      </c>
    </row>
    <row r="127" customFormat="false" ht="15" hidden="false" customHeight="false" outlineLevel="0" collapsed="false">
      <c r="A127" s="19"/>
      <c r="B127" s="19"/>
      <c r="C127" s="19"/>
      <c r="D127" s="21"/>
      <c r="E127" s="21"/>
      <c r="F127" s="19"/>
      <c r="G127" s="19"/>
      <c r="H127" s="22" t="str">
        <f aca="false">IF($A127="","",SUMIFS(Sales!$C$2:$C$1001,Sales!$B$2:$B$1001,$A127))</f>
        <v/>
      </c>
      <c r="I127" s="22" t="str">
        <f aca="false">IF($A127="","",F127-H127)</f>
        <v/>
      </c>
      <c r="J127" s="23" t="str">
        <f aca="false">IF($A127="","",IF(I127&lt;=G127,"Reorder","OK"))</f>
        <v/>
      </c>
      <c r="K127" s="17" t="str">
        <f aca="false">IF($A127="","",SUMIFS(Sales!$H$2:$H$1001,Sales!$B$2:$B$1001,$A127))</f>
        <v/>
      </c>
      <c r="L127" s="17" t="str">
        <f aca="false">IF($A127="","",SUMIFS(Sales!$J$2:$J$1001,Sales!$B$2:$B$1001,$A127))</f>
        <v/>
      </c>
      <c r="M127" s="24" t="str">
        <f aca="false">IF($A127="","",IF(K127=0,0,L127/K127))</f>
        <v/>
      </c>
    </row>
    <row r="128" customFormat="false" ht="15" hidden="false" customHeight="false" outlineLevel="0" collapsed="false">
      <c r="A128" s="19"/>
      <c r="B128" s="19"/>
      <c r="C128" s="19"/>
      <c r="D128" s="21"/>
      <c r="E128" s="21"/>
      <c r="F128" s="19"/>
      <c r="G128" s="19"/>
      <c r="H128" s="22" t="str">
        <f aca="false">IF($A128="","",SUMIFS(Sales!$C$2:$C$1001,Sales!$B$2:$B$1001,$A128))</f>
        <v/>
      </c>
      <c r="I128" s="22" t="str">
        <f aca="false">IF($A128="","",F128-H128)</f>
        <v/>
      </c>
      <c r="J128" s="23" t="str">
        <f aca="false">IF($A128="","",IF(I128&lt;=G128,"Reorder","OK"))</f>
        <v/>
      </c>
      <c r="K128" s="17" t="str">
        <f aca="false">IF($A128="","",SUMIFS(Sales!$H$2:$H$1001,Sales!$B$2:$B$1001,$A128))</f>
        <v/>
      </c>
      <c r="L128" s="17" t="str">
        <f aca="false">IF($A128="","",SUMIFS(Sales!$J$2:$J$1001,Sales!$B$2:$B$1001,$A128))</f>
        <v/>
      </c>
      <c r="M128" s="24" t="str">
        <f aca="false">IF($A128="","",IF(K128=0,0,L128/K128))</f>
        <v/>
      </c>
    </row>
    <row r="129" customFormat="false" ht="15" hidden="false" customHeight="false" outlineLevel="0" collapsed="false">
      <c r="A129" s="19"/>
      <c r="B129" s="19"/>
      <c r="C129" s="19"/>
      <c r="D129" s="21"/>
      <c r="E129" s="21"/>
      <c r="F129" s="19"/>
      <c r="G129" s="19"/>
      <c r="H129" s="22" t="str">
        <f aca="false">IF($A129="","",SUMIFS(Sales!$C$2:$C$1001,Sales!$B$2:$B$1001,$A129))</f>
        <v/>
      </c>
      <c r="I129" s="22" t="str">
        <f aca="false">IF($A129="","",F129-H129)</f>
        <v/>
      </c>
      <c r="J129" s="23" t="str">
        <f aca="false">IF($A129="","",IF(I129&lt;=G129,"Reorder","OK"))</f>
        <v/>
      </c>
      <c r="K129" s="17" t="str">
        <f aca="false">IF($A129="","",SUMIFS(Sales!$H$2:$H$1001,Sales!$B$2:$B$1001,$A129))</f>
        <v/>
      </c>
      <c r="L129" s="17" t="str">
        <f aca="false">IF($A129="","",SUMIFS(Sales!$J$2:$J$1001,Sales!$B$2:$B$1001,$A129))</f>
        <v/>
      </c>
      <c r="M129" s="24" t="str">
        <f aca="false">IF($A129="","",IF(K129=0,0,L129/K129))</f>
        <v/>
      </c>
    </row>
    <row r="130" customFormat="false" ht="15" hidden="false" customHeight="false" outlineLevel="0" collapsed="false">
      <c r="A130" s="19"/>
      <c r="B130" s="19"/>
      <c r="C130" s="19"/>
      <c r="D130" s="21"/>
      <c r="E130" s="21"/>
      <c r="F130" s="19"/>
      <c r="G130" s="19"/>
      <c r="H130" s="22" t="str">
        <f aca="false">IF($A130="","",SUMIFS(Sales!$C$2:$C$1001,Sales!$B$2:$B$1001,$A130))</f>
        <v/>
      </c>
      <c r="I130" s="22" t="str">
        <f aca="false">IF($A130="","",F130-H130)</f>
        <v/>
      </c>
      <c r="J130" s="23" t="str">
        <f aca="false">IF($A130="","",IF(I130&lt;=G130,"Reorder","OK"))</f>
        <v/>
      </c>
      <c r="K130" s="17" t="str">
        <f aca="false">IF($A130="","",SUMIFS(Sales!$H$2:$H$1001,Sales!$B$2:$B$1001,$A130))</f>
        <v/>
      </c>
      <c r="L130" s="17" t="str">
        <f aca="false">IF($A130="","",SUMIFS(Sales!$J$2:$J$1001,Sales!$B$2:$B$1001,$A130))</f>
        <v/>
      </c>
      <c r="M130" s="24" t="str">
        <f aca="false">IF($A130="","",IF(K130=0,0,L130/K130))</f>
        <v/>
      </c>
    </row>
    <row r="131" customFormat="false" ht="15" hidden="false" customHeight="false" outlineLevel="0" collapsed="false">
      <c r="A131" s="19"/>
      <c r="B131" s="19"/>
      <c r="C131" s="19"/>
      <c r="D131" s="21"/>
      <c r="E131" s="21"/>
      <c r="F131" s="19"/>
      <c r="G131" s="19"/>
      <c r="H131" s="22" t="str">
        <f aca="false">IF($A131="","",SUMIFS(Sales!$C$2:$C$1001,Sales!$B$2:$B$1001,$A131))</f>
        <v/>
      </c>
      <c r="I131" s="22" t="str">
        <f aca="false">IF($A131="","",F131-H131)</f>
        <v/>
      </c>
      <c r="J131" s="23" t="str">
        <f aca="false">IF($A131="","",IF(I131&lt;=G131,"Reorder","OK"))</f>
        <v/>
      </c>
      <c r="K131" s="17" t="str">
        <f aca="false">IF($A131="","",SUMIFS(Sales!$H$2:$H$1001,Sales!$B$2:$B$1001,$A131))</f>
        <v/>
      </c>
      <c r="L131" s="17" t="str">
        <f aca="false">IF($A131="","",SUMIFS(Sales!$J$2:$J$1001,Sales!$B$2:$B$1001,$A131))</f>
        <v/>
      </c>
      <c r="M131" s="24" t="str">
        <f aca="false">IF($A131="","",IF(K131=0,0,L131/K131))</f>
        <v/>
      </c>
    </row>
    <row r="132" customFormat="false" ht="15" hidden="false" customHeight="false" outlineLevel="0" collapsed="false">
      <c r="A132" s="19"/>
      <c r="B132" s="19"/>
      <c r="C132" s="19"/>
      <c r="D132" s="21"/>
      <c r="E132" s="21"/>
      <c r="F132" s="19"/>
      <c r="G132" s="19"/>
      <c r="H132" s="22" t="str">
        <f aca="false">IF($A132="","",SUMIFS(Sales!$C$2:$C$1001,Sales!$B$2:$B$1001,$A132))</f>
        <v/>
      </c>
      <c r="I132" s="22" t="str">
        <f aca="false">IF($A132="","",F132-H132)</f>
        <v/>
      </c>
      <c r="J132" s="23" t="str">
        <f aca="false">IF($A132="","",IF(I132&lt;=G132,"Reorder","OK"))</f>
        <v/>
      </c>
      <c r="K132" s="17" t="str">
        <f aca="false">IF($A132="","",SUMIFS(Sales!$H$2:$H$1001,Sales!$B$2:$B$1001,$A132))</f>
        <v/>
      </c>
      <c r="L132" s="17" t="str">
        <f aca="false">IF($A132="","",SUMIFS(Sales!$J$2:$J$1001,Sales!$B$2:$B$1001,$A132))</f>
        <v/>
      </c>
      <c r="M132" s="24" t="str">
        <f aca="false">IF($A132="","",IF(K132=0,0,L132/K132))</f>
        <v/>
      </c>
    </row>
    <row r="133" customFormat="false" ht="15" hidden="false" customHeight="false" outlineLevel="0" collapsed="false">
      <c r="A133" s="19"/>
      <c r="B133" s="19"/>
      <c r="C133" s="19"/>
      <c r="D133" s="21"/>
      <c r="E133" s="21"/>
      <c r="F133" s="19"/>
      <c r="G133" s="19"/>
      <c r="H133" s="22" t="str">
        <f aca="false">IF($A133="","",SUMIFS(Sales!$C$2:$C$1001,Sales!$B$2:$B$1001,$A133))</f>
        <v/>
      </c>
      <c r="I133" s="22" t="str">
        <f aca="false">IF($A133="","",F133-H133)</f>
        <v/>
      </c>
      <c r="J133" s="23" t="str">
        <f aca="false">IF($A133="","",IF(I133&lt;=G133,"Reorder","OK"))</f>
        <v/>
      </c>
      <c r="K133" s="17" t="str">
        <f aca="false">IF($A133="","",SUMIFS(Sales!$H$2:$H$1001,Sales!$B$2:$B$1001,$A133))</f>
        <v/>
      </c>
      <c r="L133" s="17" t="str">
        <f aca="false">IF($A133="","",SUMIFS(Sales!$J$2:$J$1001,Sales!$B$2:$B$1001,$A133))</f>
        <v/>
      </c>
      <c r="M133" s="24" t="str">
        <f aca="false">IF($A133="","",IF(K133=0,0,L133/K133))</f>
        <v/>
      </c>
    </row>
    <row r="134" customFormat="false" ht="15" hidden="false" customHeight="false" outlineLevel="0" collapsed="false">
      <c r="A134" s="19"/>
      <c r="B134" s="19"/>
      <c r="C134" s="19"/>
      <c r="D134" s="21"/>
      <c r="E134" s="21"/>
      <c r="F134" s="19"/>
      <c r="G134" s="19"/>
      <c r="H134" s="22" t="str">
        <f aca="false">IF($A134="","",SUMIFS(Sales!$C$2:$C$1001,Sales!$B$2:$B$1001,$A134))</f>
        <v/>
      </c>
      <c r="I134" s="22" t="str">
        <f aca="false">IF($A134="","",F134-H134)</f>
        <v/>
      </c>
      <c r="J134" s="23" t="str">
        <f aca="false">IF($A134="","",IF(I134&lt;=G134,"Reorder","OK"))</f>
        <v/>
      </c>
      <c r="K134" s="17" t="str">
        <f aca="false">IF($A134="","",SUMIFS(Sales!$H$2:$H$1001,Sales!$B$2:$B$1001,$A134))</f>
        <v/>
      </c>
      <c r="L134" s="17" t="str">
        <f aca="false">IF($A134="","",SUMIFS(Sales!$J$2:$J$1001,Sales!$B$2:$B$1001,$A134))</f>
        <v/>
      </c>
      <c r="M134" s="24" t="str">
        <f aca="false">IF($A134="","",IF(K134=0,0,L134/K134))</f>
        <v/>
      </c>
    </row>
    <row r="135" customFormat="false" ht="15" hidden="false" customHeight="false" outlineLevel="0" collapsed="false">
      <c r="A135" s="19"/>
      <c r="B135" s="19"/>
      <c r="C135" s="19"/>
      <c r="D135" s="21"/>
      <c r="E135" s="21"/>
      <c r="F135" s="19"/>
      <c r="G135" s="19"/>
      <c r="H135" s="22" t="str">
        <f aca="false">IF($A135="","",SUMIFS(Sales!$C$2:$C$1001,Sales!$B$2:$B$1001,$A135))</f>
        <v/>
      </c>
      <c r="I135" s="22" t="str">
        <f aca="false">IF($A135="","",F135-H135)</f>
        <v/>
      </c>
      <c r="J135" s="23" t="str">
        <f aca="false">IF($A135="","",IF(I135&lt;=G135,"Reorder","OK"))</f>
        <v/>
      </c>
      <c r="K135" s="17" t="str">
        <f aca="false">IF($A135="","",SUMIFS(Sales!$H$2:$H$1001,Sales!$B$2:$B$1001,$A135))</f>
        <v/>
      </c>
      <c r="L135" s="17" t="str">
        <f aca="false">IF($A135="","",SUMIFS(Sales!$J$2:$J$1001,Sales!$B$2:$B$1001,$A135))</f>
        <v/>
      </c>
      <c r="M135" s="24" t="str">
        <f aca="false">IF($A135="","",IF(K135=0,0,L135/K135))</f>
        <v/>
      </c>
    </row>
    <row r="136" customFormat="false" ht="15" hidden="false" customHeight="false" outlineLevel="0" collapsed="false">
      <c r="A136" s="19"/>
      <c r="B136" s="19"/>
      <c r="C136" s="19"/>
      <c r="D136" s="21"/>
      <c r="E136" s="21"/>
      <c r="F136" s="19"/>
      <c r="G136" s="19"/>
      <c r="H136" s="22" t="str">
        <f aca="false">IF($A136="","",SUMIFS(Sales!$C$2:$C$1001,Sales!$B$2:$B$1001,$A136))</f>
        <v/>
      </c>
      <c r="I136" s="22" t="str">
        <f aca="false">IF($A136="","",F136-H136)</f>
        <v/>
      </c>
      <c r="J136" s="23" t="str">
        <f aca="false">IF($A136="","",IF(I136&lt;=G136,"Reorder","OK"))</f>
        <v/>
      </c>
      <c r="K136" s="17" t="str">
        <f aca="false">IF($A136="","",SUMIFS(Sales!$H$2:$H$1001,Sales!$B$2:$B$1001,$A136))</f>
        <v/>
      </c>
      <c r="L136" s="17" t="str">
        <f aca="false">IF($A136="","",SUMIFS(Sales!$J$2:$J$1001,Sales!$B$2:$B$1001,$A136))</f>
        <v/>
      </c>
      <c r="M136" s="24" t="str">
        <f aca="false">IF($A136="","",IF(K136=0,0,L136/K136))</f>
        <v/>
      </c>
    </row>
    <row r="137" customFormat="false" ht="15" hidden="false" customHeight="false" outlineLevel="0" collapsed="false">
      <c r="A137" s="19"/>
      <c r="B137" s="19"/>
      <c r="C137" s="19"/>
      <c r="D137" s="21"/>
      <c r="E137" s="21"/>
      <c r="F137" s="19"/>
      <c r="G137" s="19"/>
      <c r="H137" s="22" t="str">
        <f aca="false">IF($A137="","",SUMIFS(Sales!$C$2:$C$1001,Sales!$B$2:$B$1001,$A137))</f>
        <v/>
      </c>
      <c r="I137" s="22" t="str">
        <f aca="false">IF($A137="","",F137-H137)</f>
        <v/>
      </c>
      <c r="J137" s="23" t="str">
        <f aca="false">IF($A137="","",IF(I137&lt;=G137,"Reorder","OK"))</f>
        <v/>
      </c>
      <c r="K137" s="17" t="str">
        <f aca="false">IF($A137="","",SUMIFS(Sales!$H$2:$H$1001,Sales!$B$2:$B$1001,$A137))</f>
        <v/>
      </c>
      <c r="L137" s="17" t="str">
        <f aca="false">IF($A137="","",SUMIFS(Sales!$J$2:$J$1001,Sales!$B$2:$B$1001,$A137))</f>
        <v/>
      </c>
      <c r="M137" s="24" t="str">
        <f aca="false">IF($A137="","",IF(K137=0,0,L137/K137))</f>
        <v/>
      </c>
    </row>
    <row r="138" customFormat="false" ht="15" hidden="false" customHeight="false" outlineLevel="0" collapsed="false">
      <c r="A138" s="19"/>
      <c r="B138" s="19"/>
      <c r="C138" s="19"/>
      <c r="D138" s="21"/>
      <c r="E138" s="21"/>
      <c r="F138" s="19"/>
      <c r="G138" s="19"/>
      <c r="H138" s="22" t="str">
        <f aca="false">IF($A138="","",SUMIFS(Sales!$C$2:$C$1001,Sales!$B$2:$B$1001,$A138))</f>
        <v/>
      </c>
      <c r="I138" s="22" t="str">
        <f aca="false">IF($A138="","",F138-H138)</f>
        <v/>
      </c>
      <c r="J138" s="23" t="str">
        <f aca="false">IF($A138="","",IF(I138&lt;=G138,"Reorder","OK"))</f>
        <v/>
      </c>
      <c r="K138" s="17" t="str">
        <f aca="false">IF($A138="","",SUMIFS(Sales!$H$2:$H$1001,Sales!$B$2:$B$1001,$A138))</f>
        <v/>
      </c>
      <c r="L138" s="17" t="str">
        <f aca="false">IF($A138="","",SUMIFS(Sales!$J$2:$J$1001,Sales!$B$2:$B$1001,$A138))</f>
        <v/>
      </c>
      <c r="M138" s="24" t="str">
        <f aca="false">IF($A138="","",IF(K138=0,0,L138/K138))</f>
        <v/>
      </c>
    </row>
    <row r="139" customFormat="false" ht="15" hidden="false" customHeight="false" outlineLevel="0" collapsed="false">
      <c r="A139" s="19"/>
      <c r="B139" s="19"/>
      <c r="C139" s="19"/>
      <c r="D139" s="21"/>
      <c r="E139" s="21"/>
      <c r="F139" s="19"/>
      <c r="G139" s="19"/>
      <c r="H139" s="22" t="str">
        <f aca="false">IF($A139="","",SUMIFS(Sales!$C$2:$C$1001,Sales!$B$2:$B$1001,$A139))</f>
        <v/>
      </c>
      <c r="I139" s="22" t="str">
        <f aca="false">IF($A139="","",F139-H139)</f>
        <v/>
      </c>
      <c r="J139" s="23" t="str">
        <f aca="false">IF($A139="","",IF(I139&lt;=G139,"Reorder","OK"))</f>
        <v/>
      </c>
      <c r="K139" s="17" t="str">
        <f aca="false">IF($A139="","",SUMIFS(Sales!$H$2:$H$1001,Sales!$B$2:$B$1001,$A139))</f>
        <v/>
      </c>
      <c r="L139" s="17" t="str">
        <f aca="false">IF($A139="","",SUMIFS(Sales!$J$2:$J$1001,Sales!$B$2:$B$1001,$A139))</f>
        <v/>
      </c>
      <c r="M139" s="24" t="str">
        <f aca="false">IF($A139="","",IF(K139=0,0,L139/K139))</f>
        <v/>
      </c>
    </row>
    <row r="140" customFormat="false" ht="15" hidden="false" customHeight="false" outlineLevel="0" collapsed="false">
      <c r="A140" s="19"/>
      <c r="B140" s="19"/>
      <c r="C140" s="19"/>
      <c r="D140" s="21"/>
      <c r="E140" s="21"/>
      <c r="F140" s="19"/>
      <c r="G140" s="19"/>
      <c r="H140" s="22" t="str">
        <f aca="false">IF($A140="","",SUMIFS(Sales!$C$2:$C$1001,Sales!$B$2:$B$1001,$A140))</f>
        <v/>
      </c>
      <c r="I140" s="22" t="str">
        <f aca="false">IF($A140="","",F140-H140)</f>
        <v/>
      </c>
      <c r="J140" s="23" t="str">
        <f aca="false">IF($A140="","",IF(I140&lt;=G140,"Reorder","OK"))</f>
        <v/>
      </c>
      <c r="K140" s="17" t="str">
        <f aca="false">IF($A140="","",SUMIFS(Sales!$H$2:$H$1001,Sales!$B$2:$B$1001,$A140))</f>
        <v/>
      </c>
      <c r="L140" s="17" t="str">
        <f aca="false">IF($A140="","",SUMIFS(Sales!$J$2:$J$1001,Sales!$B$2:$B$1001,$A140))</f>
        <v/>
      </c>
      <c r="M140" s="24" t="str">
        <f aca="false">IF($A140="","",IF(K140=0,0,L140/K140))</f>
        <v/>
      </c>
    </row>
    <row r="141" customFormat="false" ht="15" hidden="false" customHeight="false" outlineLevel="0" collapsed="false">
      <c r="A141" s="19"/>
      <c r="B141" s="19"/>
      <c r="C141" s="19"/>
      <c r="D141" s="21"/>
      <c r="E141" s="21"/>
      <c r="F141" s="19"/>
      <c r="G141" s="19"/>
      <c r="H141" s="22" t="str">
        <f aca="false">IF($A141="","",SUMIFS(Sales!$C$2:$C$1001,Sales!$B$2:$B$1001,$A141))</f>
        <v/>
      </c>
      <c r="I141" s="22" t="str">
        <f aca="false">IF($A141="","",F141-H141)</f>
        <v/>
      </c>
      <c r="J141" s="23" t="str">
        <f aca="false">IF($A141="","",IF(I141&lt;=G141,"Reorder","OK"))</f>
        <v/>
      </c>
      <c r="K141" s="17" t="str">
        <f aca="false">IF($A141="","",SUMIFS(Sales!$H$2:$H$1001,Sales!$B$2:$B$1001,$A141))</f>
        <v/>
      </c>
      <c r="L141" s="17" t="str">
        <f aca="false">IF($A141="","",SUMIFS(Sales!$J$2:$J$1001,Sales!$B$2:$B$1001,$A141))</f>
        <v/>
      </c>
      <c r="M141" s="24" t="str">
        <f aca="false">IF($A141="","",IF(K141=0,0,L141/K141))</f>
        <v/>
      </c>
    </row>
    <row r="142" customFormat="false" ht="15" hidden="false" customHeight="false" outlineLevel="0" collapsed="false">
      <c r="A142" s="19"/>
      <c r="B142" s="19"/>
      <c r="C142" s="19"/>
      <c r="D142" s="21"/>
      <c r="E142" s="21"/>
      <c r="F142" s="19"/>
      <c r="G142" s="19"/>
      <c r="H142" s="22" t="str">
        <f aca="false">IF($A142="","",SUMIFS(Sales!$C$2:$C$1001,Sales!$B$2:$B$1001,$A142))</f>
        <v/>
      </c>
      <c r="I142" s="22" t="str">
        <f aca="false">IF($A142="","",F142-H142)</f>
        <v/>
      </c>
      <c r="J142" s="23" t="str">
        <f aca="false">IF($A142="","",IF(I142&lt;=G142,"Reorder","OK"))</f>
        <v/>
      </c>
      <c r="K142" s="17" t="str">
        <f aca="false">IF($A142="","",SUMIFS(Sales!$H$2:$H$1001,Sales!$B$2:$B$1001,$A142))</f>
        <v/>
      </c>
      <c r="L142" s="17" t="str">
        <f aca="false">IF($A142="","",SUMIFS(Sales!$J$2:$J$1001,Sales!$B$2:$B$1001,$A142))</f>
        <v/>
      </c>
      <c r="M142" s="24" t="str">
        <f aca="false">IF($A142="","",IF(K142=0,0,L142/K142))</f>
        <v/>
      </c>
    </row>
    <row r="143" customFormat="false" ht="15" hidden="false" customHeight="false" outlineLevel="0" collapsed="false">
      <c r="A143" s="19"/>
      <c r="B143" s="19"/>
      <c r="C143" s="19"/>
      <c r="D143" s="21"/>
      <c r="E143" s="21"/>
      <c r="F143" s="19"/>
      <c r="G143" s="19"/>
      <c r="H143" s="22" t="str">
        <f aca="false">IF($A143="","",SUMIFS(Sales!$C$2:$C$1001,Sales!$B$2:$B$1001,$A143))</f>
        <v/>
      </c>
      <c r="I143" s="22" t="str">
        <f aca="false">IF($A143="","",F143-H143)</f>
        <v/>
      </c>
      <c r="J143" s="23" t="str">
        <f aca="false">IF($A143="","",IF(I143&lt;=G143,"Reorder","OK"))</f>
        <v/>
      </c>
      <c r="K143" s="17" t="str">
        <f aca="false">IF($A143="","",SUMIFS(Sales!$H$2:$H$1001,Sales!$B$2:$B$1001,$A143))</f>
        <v/>
      </c>
      <c r="L143" s="17" t="str">
        <f aca="false">IF($A143="","",SUMIFS(Sales!$J$2:$J$1001,Sales!$B$2:$B$1001,$A143))</f>
        <v/>
      </c>
      <c r="M143" s="24" t="str">
        <f aca="false">IF($A143="","",IF(K143=0,0,L143/K143))</f>
        <v/>
      </c>
    </row>
    <row r="144" customFormat="false" ht="15" hidden="false" customHeight="false" outlineLevel="0" collapsed="false">
      <c r="A144" s="19"/>
      <c r="B144" s="19"/>
      <c r="C144" s="19"/>
      <c r="D144" s="21"/>
      <c r="E144" s="21"/>
      <c r="F144" s="19"/>
      <c r="G144" s="19"/>
      <c r="H144" s="22" t="str">
        <f aca="false">IF($A144="","",SUMIFS(Sales!$C$2:$C$1001,Sales!$B$2:$B$1001,$A144))</f>
        <v/>
      </c>
      <c r="I144" s="22" t="str">
        <f aca="false">IF($A144="","",F144-H144)</f>
        <v/>
      </c>
      <c r="J144" s="23" t="str">
        <f aca="false">IF($A144="","",IF(I144&lt;=G144,"Reorder","OK"))</f>
        <v/>
      </c>
      <c r="K144" s="17" t="str">
        <f aca="false">IF($A144="","",SUMIFS(Sales!$H$2:$H$1001,Sales!$B$2:$B$1001,$A144))</f>
        <v/>
      </c>
      <c r="L144" s="17" t="str">
        <f aca="false">IF($A144="","",SUMIFS(Sales!$J$2:$J$1001,Sales!$B$2:$B$1001,$A144))</f>
        <v/>
      </c>
      <c r="M144" s="24" t="str">
        <f aca="false">IF($A144="","",IF(K144=0,0,L144/K144))</f>
        <v/>
      </c>
    </row>
    <row r="145" customFormat="false" ht="15" hidden="false" customHeight="false" outlineLevel="0" collapsed="false">
      <c r="A145" s="19"/>
      <c r="B145" s="19"/>
      <c r="C145" s="19"/>
      <c r="D145" s="21"/>
      <c r="E145" s="21"/>
      <c r="F145" s="19"/>
      <c r="G145" s="19"/>
      <c r="H145" s="22" t="str">
        <f aca="false">IF($A145="","",SUMIFS(Sales!$C$2:$C$1001,Sales!$B$2:$B$1001,$A145))</f>
        <v/>
      </c>
      <c r="I145" s="22" t="str">
        <f aca="false">IF($A145="","",F145-H145)</f>
        <v/>
      </c>
      <c r="J145" s="23" t="str">
        <f aca="false">IF($A145="","",IF(I145&lt;=G145,"Reorder","OK"))</f>
        <v/>
      </c>
      <c r="K145" s="17" t="str">
        <f aca="false">IF($A145="","",SUMIFS(Sales!$H$2:$H$1001,Sales!$B$2:$B$1001,$A145))</f>
        <v/>
      </c>
      <c r="L145" s="17" t="str">
        <f aca="false">IF($A145="","",SUMIFS(Sales!$J$2:$J$1001,Sales!$B$2:$B$1001,$A145))</f>
        <v/>
      </c>
      <c r="M145" s="24" t="str">
        <f aca="false">IF($A145="","",IF(K145=0,0,L145/K145))</f>
        <v/>
      </c>
    </row>
    <row r="146" customFormat="false" ht="15" hidden="false" customHeight="false" outlineLevel="0" collapsed="false">
      <c r="A146" s="19"/>
      <c r="B146" s="19"/>
      <c r="C146" s="19"/>
      <c r="D146" s="21"/>
      <c r="E146" s="21"/>
      <c r="F146" s="19"/>
      <c r="G146" s="19"/>
      <c r="H146" s="22" t="str">
        <f aca="false">IF($A146="","",SUMIFS(Sales!$C$2:$C$1001,Sales!$B$2:$B$1001,$A146))</f>
        <v/>
      </c>
      <c r="I146" s="22" t="str">
        <f aca="false">IF($A146="","",F146-H146)</f>
        <v/>
      </c>
      <c r="J146" s="23" t="str">
        <f aca="false">IF($A146="","",IF(I146&lt;=G146,"Reorder","OK"))</f>
        <v/>
      </c>
      <c r="K146" s="17" t="str">
        <f aca="false">IF($A146="","",SUMIFS(Sales!$H$2:$H$1001,Sales!$B$2:$B$1001,$A146))</f>
        <v/>
      </c>
      <c r="L146" s="17" t="str">
        <f aca="false">IF($A146="","",SUMIFS(Sales!$J$2:$J$1001,Sales!$B$2:$B$1001,$A146))</f>
        <v/>
      </c>
      <c r="M146" s="24" t="str">
        <f aca="false">IF($A146="","",IF(K146=0,0,L146/K146))</f>
        <v/>
      </c>
    </row>
    <row r="147" customFormat="false" ht="15" hidden="false" customHeight="false" outlineLevel="0" collapsed="false">
      <c r="A147" s="19"/>
      <c r="B147" s="19"/>
      <c r="C147" s="19"/>
      <c r="D147" s="21"/>
      <c r="E147" s="21"/>
      <c r="F147" s="19"/>
      <c r="G147" s="19"/>
      <c r="H147" s="22" t="str">
        <f aca="false">IF($A147="","",SUMIFS(Sales!$C$2:$C$1001,Sales!$B$2:$B$1001,$A147))</f>
        <v/>
      </c>
      <c r="I147" s="22" t="str">
        <f aca="false">IF($A147="","",F147-H147)</f>
        <v/>
      </c>
      <c r="J147" s="23" t="str">
        <f aca="false">IF($A147="","",IF(I147&lt;=G147,"Reorder","OK"))</f>
        <v/>
      </c>
      <c r="K147" s="17" t="str">
        <f aca="false">IF($A147="","",SUMIFS(Sales!$H$2:$H$1001,Sales!$B$2:$B$1001,$A147))</f>
        <v/>
      </c>
      <c r="L147" s="17" t="str">
        <f aca="false">IF($A147="","",SUMIFS(Sales!$J$2:$J$1001,Sales!$B$2:$B$1001,$A147))</f>
        <v/>
      </c>
      <c r="M147" s="24" t="str">
        <f aca="false">IF($A147="","",IF(K147=0,0,L147/K147))</f>
        <v/>
      </c>
    </row>
    <row r="148" customFormat="false" ht="15" hidden="false" customHeight="false" outlineLevel="0" collapsed="false">
      <c r="A148" s="19"/>
      <c r="B148" s="19"/>
      <c r="C148" s="19"/>
      <c r="D148" s="21"/>
      <c r="E148" s="21"/>
      <c r="F148" s="19"/>
      <c r="G148" s="19"/>
      <c r="H148" s="22" t="str">
        <f aca="false">IF($A148="","",SUMIFS(Sales!$C$2:$C$1001,Sales!$B$2:$B$1001,$A148))</f>
        <v/>
      </c>
      <c r="I148" s="22" t="str">
        <f aca="false">IF($A148="","",F148-H148)</f>
        <v/>
      </c>
      <c r="J148" s="23" t="str">
        <f aca="false">IF($A148="","",IF(I148&lt;=G148,"Reorder","OK"))</f>
        <v/>
      </c>
      <c r="K148" s="17" t="str">
        <f aca="false">IF($A148="","",SUMIFS(Sales!$H$2:$H$1001,Sales!$B$2:$B$1001,$A148))</f>
        <v/>
      </c>
      <c r="L148" s="17" t="str">
        <f aca="false">IF($A148="","",SUMIFS(Sales!$J$2:$J$1001,Sales!$B$2:$B$1001,$A148))</f>
        <v/>
      </c>
      <c r="M148" s="24" t="str">
        <f aca="false">IF($A148="","",IF(K148=0,0,L148/K148))</f>
        <v/>
      </c>
    </row>
    <row r="149" customFormat="false" ht="15" hidden="false" customHeight="false" outlineLevel="0" collapsed="false">
      <c r="A149" s="19"/>
      <c r="B149" s="19"/>
      <c r="C149" s="19"/>
      <c r="D149" s="21"/>
      <c r="E149" s="21"/>
      <c r="F149" s="19"/>
      <c r="G149" s="19"/>
      <c r="H149" s="22" t="str">
        <f aca="false">IF($A149="","",SUMIFS(Sales!$C$2:$C$1001,Sales!$B$2:$B$1001,$A149))</f>
        <v/>
      </c>
      <c r="I149" s="22" t="str">
        <f aca="false">IF($A149="","",F149-H149)</f>
        <v/>
      </c>
      <c r="J149" s="23" t="str">
        <f aca="false">IF($A149="","",IF(I149&lt;=G149,"Reorder","OK"))</f>
        <v/>
      </c>
      <c r="K149" s="17" t="str">
        <f aca="false">IF($A149="","",SUMIFS(Sales!$H$2:$H$1001,Sales!$B$2:$B$1001,$A149))</f>
        <v/>
      </c>
      <c r="L149" s="17" t="str">
        <f aca="false">IF($A149="","",SUMIFS(Sales!$J$2:$J$1001,Sales!$B$2:$B$1001,$A149))</f>
        <v/>
      </c>
      <c r="M149" s="24" t="str">
        <f aca="false">IF($A149="","",IF(K149=0,0,L149/K149))</f>
        <v/>
      </c>
    </row>
    <row r="150" customFormat="false" ht="15" hidden="false" customHeight="false" outlineLevel="0" collapsed="false">
      <c r="A150" s="19"/>
      <c r="B150" s="19"/>
      <c r="C150" s="19"/>
      <c r="D150" s="21"/>
      <c r="E150" s="21"/>
      <c r="F150" s="19"/>
      <c r="G150" s="19"/>
      <c r="H150" s="22" t="str">
        <f aca="false">IF($A150="","",SUMIFS(Sales!$C$2:$C$1001,Sales!$B$2:$B$1001,$A150))</f>
        <v/>
      </c>
      <c r="I150" s="22" t="str">
        <f aca="false">IF($A150="","",F150-H150)</f>
        <v/>
      </c>
      <c r="J150" s="23" t="str">
        <f aca="false">IF($A150="","",IF(I150&lt;=G150,"Reorder","OK"))</f>
        <v/>
      </c>
      <c r="K150" s="17" t="str">
        <f aca="false">IF($A150="","",SUMIFS(Sales!$H$2:$H$1001,Sales!$B$2:$B$1001,$A150))</f>
        <v/>
      </c>
      <c r="L150" s="17" t="str">
        <f aca="false">IF($A150="","",SUMIFS(Sales!$J$2:$J$1001,Sales!$B$2:$B$1001,$A150))</f>
        <v/>
      </c>
      <c r="M150" s="24" t="str">
        <f aca="false">IF($A150="","",IF(K150=0,0,L150/K150))</f>
        <v/>
      </c>
    </row>
    <row r="151" customFormat="false" ht="15" hidden="false" customHeight="false" outlineLevel="0" collapsed="false">
      <c r="A151" s="19"/>
      <c r="B151" s="19"/>
      <c r="C151" s="19"/>
      <c r="D151" s="21"/>
      <c r="E151" s="21"/>
      <c r="F151" s="19"/>
      <c r="G151" s="19"/>
      <c r="H151" s="22" t="str">
        <f aca="false">IF($A151="","",SUMIFS(Sales!$C$2:$C$1001,Sales!$B$2:$B$1001,$A151))</f>
        <v/>
      </c>
      <c r="I151" s="22" t="str">
        <f aca="false">IF($A151="","",F151-H151)</f>
        <v/>
      </c>
      <c r="J151" s="23" t="str">
        <f aca="false">IF($A151="","",IF(I151&lt;=G151,"Reorder","OK"))</f>
        <v/>
      </c>
      <c r="K151" s="17" t="str">
        <f aca="false">IF($A151="","",SUMIFS(Sales!$H$2:$H$1001,Sales!$B$2:$B$1001,$A151))</f>
        <v/>
      </c>
      <c r="L151" s="17" t="str">
        <f aca="false">IF($A151="","",SUMIFS(Sales!$J$2:$J$1001,Sales!$B$2:$B$1001,$A151))</f>
        <v/>
      </c>
      <c r="M151" s="24" t="str">
        <f aca="false">IF($A151="","",IF(K151=0,0,L151/K151))</f>
        <v/>
      </c>
    </row>
    <row r="152" customFormat="false" ht="15" hidden="false" customHeight="false" outlineLevel="0" collapsed="false">
      <c r="A152" s="19"/>
      <c r="B152" s="19"/>
      <c r="C152" s="19"/>
      <c r="D152" s="21"/>
      <c r="E152" s="21"/>
      <c r="F152" s="19"/>
      <c r="G152" s="19"/>
      <c r="H152" s="22" t="str">
        <f aca="false">IF($A152="","",SUMIFS(Sales!$C$2:$C$1001,Sales!$B$2:$B$1001,$A152))</f>
        <v/>
      </c>
      <c r="I152" s="22" t="str">
        <f aca="false">IF($A152="","",F152-H152)</f>
        <v/>
      </c>
      <c r="J152" s="23" t="str">
        <f aca="false">IF($A152="","",IF(I152&lt;=G152,"Reorder","OK"))</f>
        <v/>
      </c>
      <c r="K152" s="17" t="str">
        <f aca="false">IF($A152="","",SUMIFS(Sales!$H$2:$H$1001,Sales!$B$2:$B$1001,$A152))</f>
        <v/>
      </c>
      <c r="L152" s="17" t="str">
        <f aca="false">IF($A152="","",SUMIFS(Sales!$J$2:$J$1001,Sales!$B$2:$B$1001,$A152))</f>
        <v/>
      </c>
      <c r="M152" s="24" t="str">
        <f aca="false">IF($A152="","",IF(K152=0,0,L152/K152))</f>
        <v/>
      </c>
    </row>
    <row r="153" customFormat="false" ht="15" hidden="false" customHeight="false" outlineLevel="0" collapsed="false">
      <c r="A153" s="19"/>
      <c r="B153" s="19"/>
      <c r="C153" s="19"/>
      <c r="D153" s="21"/>
      <c r="E153" s="21"/>
      <c r="F153" s="19"/>
      <c r="G153" s="19"/>
      <c r="H153" s="22" t="str">
        <f aca="false">IF($A153="","",SUMIFS(Sales!$C$2:$C$1001,Sales!$B$2:$B$1001,$A153))</f>
        <v/>
      </c>
      <c r="I153" s="22" t="str">
        <f aca="false">IF($A153="","",F153-H153)</f>
        <v/>
      </c>
      <c r="J153" s="23" t="str">
        <f aca="false">IF($A153="","",IF(I153&lt;=G153,"Reorder","OK"))</f>
        <v/>
      </c>
      <c r="K153" s="17" t="str">
        <f aca="false">IF($A153="","",SUMIFS(Sales!$H$2:$H$1001,Sales!$B$2:$B$1001,$A153))</f>
        <v/>
      </c>
      <c r="L153" s="17" t="str">
        <f aca="false">IF($A153="","",SUMIFS(Sales!$J$2:$J$1001,Sales!$B$2:$B$1001,$A153))</f>
        <v/>
      </c>
      <c r="M153" s="24" t="str">
        <f aca="false">IF($A153="","",IF(K153=0,0,L153/K153))</f>
        <v/>
      </c>
    </row>
    <row r="154" customFormat="false" ht="15" hidden="false" customHeight="false" outlineLevel="0" collapsed="false">
      <c r="A154" s="19"/>
      <c r="B154" s="19"/>
      <c r="C154" s="19"/>
      <c r="D154" s="21"/>
      <c r="E154" s="21"/>
      <c r="F154" s="19"/>
      <c r="G154" s="19"/>
      <c r="H154" s="22" t="str">
        <f aca="false">IF($A154="","",SUMIFS(Sales!$C$2:$C$1001,Sales!$B$2:$B$1001,$A154))</f>
        <v/>
      </c>
      <c r="I154" s="22" t="str">
        <f aca="false">IF($A154="","",F154-H154)</f>
        <v/>
      </c>
      <c r="J154" s="23" t="str">
        <f aca="false">IF($A154="","",IF(I154&lt;=G154,"Reorder","OK"))</f>
        <v/>
      </c>
      <c r="K154" s="17" t="str">
        <f aca="false">IF($A154="","",SUMIFS(Sales!$H$2:$H$1001,Sales!$B$2:$B$1001,$A154))</f>
        <v/>
      </c>
      <c r="L154" s="17" t="str">
        <f aca="false">IF($A154="","",SUMIFS(Sales!$J$2:$J$1001,Sales!$B$2:$B$1001,$A154))</f>
        <v/>
      </c>
      <c r="M154" s="24" t="str">
        <f aca="false">IF($A154="","",IF(K154=0,0,L154/K154))</f>
        <v/>
      </c>
    </row>
    <row r="155" customFormat="false" ht="15" hidden="false" customHeight="false" outlineLevel="0" collapsed="false">
      <c r="A155" s="19"/>
      <c r="B155" s="19"/>
      <c r="C155" s="19"/>
      <c r="D155" s="21"/>
      <c r="E155" s="21"/>
      <c r="F155" s="19"/>
      <c r="G155" s="19"/>
      <c r="H155" s="22" t="str">
        <f aca="false">IF($A155="","",SUMIFS(Sales!$C$2:$C$1001,Sales!$B$2:$B$1001,$A155))</f>
        <v/>
      </c>
      <c r="I155" s="22" t="str">
        <f aca="false">IF($A155="","",F155-H155)</f>
        <v/>
      </c>
      <c r="J155" s="23" t="str">
        <f aca="false">IF($A155="","",IF(I155&lt;=G155,"Reorder","OK"))</f>
        <v/>
      </c>
      <c r="K155" s="17" t="str">
        <f aca="false">IF($A155="","",SUMIFS(Sales!$H$2:$H$1001,Sales!$B$2:$B$1001,$A155))</f>
        <v/>
      </c>
      <c r="L155" s="17" t="str">
        <f aca="false">IF($A155="","",SUMIFS(Sales!$J$2:$J$1001,Sales!$B$2:$B$1001,$A155))</f>
        <v/>
      </c>
      <c r="M155" s="24" t="str">
        <f aca="false">IF($A155="","",IF(K155=0,0,L155/K155))</f>
        <v/>
      </c>
    </row>
    <row r="156" customFormat="false" ht="15" hidden="false" customHeight="false" outlineLevel="0" collapsed="false">
      <c r="A156" s="19"/>
      <c r="B156" s="19"/>
      <c r="C156" s="19"/>
      <c r="D156" s="21"/>
      <c r="E156" s="21"/>
      <c r="F156" s="19"/>
      <c r="G156" s="19"/>
      <c r="H156" s="22" t="str">
        <f aca="false">IF($A156="","",SUMIFS(Sales!$C$2:$C$1001,Sales!$B$2:$B$1001,$A156))</f>
        <v/>
      </c>
      <c r="I156" s="22" t="str">
        <f aca="false">IF($A156="","",F156-H156)</f>
        <v/>
      </c>
      <c r="J156" s="23" t="str">
        <f aca="false">IF($A156="","",IF(I156&lt;=G156,"Reorder","OK"))</f>
        <v/>
      </c>
      <c r="K156" s="17" t="str">
        <f aca="false">IF($A156="","",SUMIFS(Sales!$H$2:$H$1001,Sales!$B$2:$B$1001,$A156))</f>
        <v/>
      </c>
      <c r="L156" s="17" t="str">
        <f aca="false">IF($A156="","",SUMIFS(Sales!$J$2:$J$1001,Sales!$B$2:$B$1001,$A156))</f>
        <v/>
      </c>
      <c r="M156" s="24" t="str">
        <f aca="false">IF($A156="","",IF(K156=0,0,L156/K156))</f>
        <v/>
      </c>
    </row>
    <row r="157" customFormat="false" ht="15" hidden="false" customHeight="false" outlineLevel="0" collapsed="false">
      <c r="A157" s="19"/>
      <c r="B157" s="19"/>
      <c r="C157" s="19"/>
      <c r="D157" s="21"/>
      <c r="E157" s="21"/>
      <c r="F157" s="19"/>
      <c r="G157" s="19"/>
      <c r="H157" s="22" t="str">
        <f aca="false">IF($A157="","",SUMIFS(Sales!$C$2:$C$1001,Sales!$B$2:$B$1001,$A157))</f>
        <v/>
      </c>
      <c r="I157" s="22" t="str">
        <f aca="false">IF($A157="","",F157-H157)</f>
        <v/>
      </c>
      <c r="J157" s="23" t="str">
        <f aca="false">IF($A157="","",IF(I157&lt;=G157,"Reorder","OK"))</f>
        <v/>
      </c>
      <c r="K157" s="17" t="str">
        <f aca="false">IF($A157="","",SUMIFS(Sales!$H$2:$H$1001,Sales!$B$2:$B$1001,$A157))</f>
        <v/>
      </c>
      <c r="L157" s="17" t="str">
        <f aca="false">IF($A157="","",SUMIFS(Sales!$J$2:$J$1001,Sales!$B$2:$B$1001,$A157))</f>
        <v/>
      </c>
      <c r="M157" s="24" t="str">
        <f aca="false">IF($A157="","",IF(K157=0,0,L157/K157))</f>
        <v/>
      </c>
    </row>
    <row r="158" customFormat="false" ht="15" hidden="false" customHeight="false" outlineLevel="0" collapsed="false">
      <c r="A158" s="19"/>
      <c r="B158" s="19"/>
      <c r="C158" s="19"/>
      <c r="D158" s="21"/>
      <c r="E158" s="21"/>
      <c r="F158" s="19"/>
      <c r="G158" s="19"/>
      <c r="H158" s="22" t="str">
        <f aca="false">IF($A158="","",SUMIFS(Sales!$C$2:$C$1001,Sales!$B$2:$B$1001,$A158))</f>
        <v/>
      </c>
      <c r="I158" s="22" t="str">
        <f aca="false">IF($A158="","",F158-H158)</f>
        <v/>
      </c>
      <c r="J158" s="23" t="str">
        <f aca="false">IF($A158="","",IF(I158&lt;=G158,"Reorder","OK"))</f>
        <v/>
      </c>
      <c r="K158" s="17" t="str">
        <f aca="false">IF($A158="","",SUMIFS(Sales!$H$2:$H$1001,Sales!$B$2:$B$1001,$A158))</f>
        <v/>
      </c>
      <c r="L158" s="17" t="str">
        <f aca="false">IF($A158="","",SUMIFS(Sales!$J$2:$J$1001,Sales!$B$2:$B$1001,$A158))</f>
        <v/>
      </c>
      <c r="M158" s="24" t="str">
        <f aca="false">IF($A158="","",IF(K158=0,0,L158/K158))</f>
        <v/>
      </c>
    </row>
    <row r="159" customFormat="false" ht="15" hidden="false" customHeight="false" outlineLevel="0" collapsed="false">
      <c r="A159" s="19"/>
      <c r="B159" s="19"/>
      <c r="C159" s="19"/>
      <c r="D159" s="21"/>
      <c r="E159" s="21"/>
      <c r="F159" s="19"/>
      <c r="G159" s="19"/>
      <c r="H159" s="22" t="str">
        <f aca="false">IF($A159="","",SUMIFS(Sales!$C$2:$C$1001,Sales!$B$2:$B$1001,$A159))</f>
        <v/>
      </c>
      <c r="I159" s="22" t="str">
        <f aca="false">IF($A159="","",F159-H159)</f>
        <v/>
      </c>
      <c r="J159" s="23" t="str">
        <f aca="false">IF($A159="","",IF(I159&lt;=G159,"Reorder","OK"))</f>
        <v/>
      </c>
      <c r="K159" s="17" t="str">
        <f aca="false">IF($A159="","",SUMIFS(Sales!$H$2:$H$1001,Sales!$B$2:$B$1001,$A159))</f>
        <v/>
      </c>
      <c r="L159" s="17" t="str">
        <f aca="false">IF($A159="","",SUMIFS(Sales!$J$2:$J$1001,Sales!$B$2:$B$1001,$A159))</f>
        <v/>
      </c>
      <c r="M159" s="24" t="str">
        <f aca="false">IF($A159="","",IF(K159=0,0,L159/K159))</f>
        <v/>
      </c>
    </row>
    <row r="160" customFormat="false" ht="15" hidden="false" customHeight="false" outlineLevel="0" collapsed="false">
      <c r="A160" s="19"/>
      <c r="B160" s="19"/>
      <c r="C160" s="19"/>
      <c r="D160" s="21"/>
      <c r="E160" s="21"/>
      <c r="F160" s="19"/>
      <c r="G160" s="19"/>
      <c r="H160" s="22" t="str">
        <f aca="false">IF($A160="","",SUMIFS(Sales!$C$2:$C$1001,Sales!$B$2:$B$1001,$A160))</f>
        <v/>
      </c>
      <c r="I160" s="22" t="str">
        <f aca="false">IF($A160="","",F160-H160)</f>
        <v/>
      </c>
      <c r="J160" s="23" t="str">
        <f aca="false">IF($A160="","",IF(I160&lt;=G160,"Reorder","OK"))</f>
        <v/>
      </c>
      <c r="K160" s="17" t="str">
        <f aca="false">IF($A160="","",SUMIFS(Sales!$H$2:$H$1001,Sales!$B$2:$B$1001,$A160))</f>
        <v/>
      </c>
      <c r="L160" s="17" t="str">
        <f aca="false">IF($A160="","",SUMIFS(Sales!$J$2:$J$1001,Sales!$B$2:$B$1001,$A160))</f>
        <v/>
      </c>
      <c r="M160" s="24" t="str">
        <f aca="false">IF($A160="","",IF(K160=0,0,L160/K160))</f>
        <v/>
      </c>
    </row>
    <row r="161" customFormat="false" ht="15" hidden="false" customHeight="false" outlineLevel="0" collapsed="false">
      <c r="A161" s="19"/>
      <c r="B161" s="19"/>
      <c r="C161" s="19"/>
      <c r="D161" s="21"/>
      <c r="E161" s="21"/>
      <c r="F161" s="19"/>
      <c r="G161" s="19"/>
      <c r="H161" s="22" t="str">
        <f aca="false">IF($A161="","",SUMIFS(Sales!$C$2:$C$1001,Sales!$B$2:$B$1001,$A161))</f>
        <v/>
      </c>
      <c r="I161" s="22" t="str">
        <f aca="false">IF($A161="","",F161-H161)</f>
        <v/>
      </c>
      <c r="J161" s="23" t="str">
        <f aca="false">IF($A161="","",IF(I161&lt;=G161,"Reorder","OK"))</f>
        <v/>
      </c>
      <c r="K161" s="17" t="str">
        <f aca="false">IF($A161="","",SUMIFS(Sales!$H$2:$H$1001,Sales!$B$2:$B$1001,$A161))</f>
        <v/>
      </c>
      <c r="L161" s="17" t="str">
        <f aca="false">IF($A161="","",SUMIFS(Sales!$J$2:$J$1001,Sales!$B$2:$B$1001,$A161))</f>
        <v/>
      </c>
      <c r="M161" s="24" t="str">
        <f aca="false">IF($A161="","",IF(K161=0,0,L161/K161))</f>
        <v/>
      </c>
    </row>
    <row r="162" customFormat="false" ht="15" hidden="false" customHeight="false" outlineLevel="0" collapsed="false">
      <c r="A162" s="19"/>
      <c r="B162" s="19"/>
      <c r="C162" s="19"/>
      <c r="D162" s="21"/>
      <c r="E162" s="21"/>
      <c r="F162" s="19"/>
      <c r="G162" s="19"/>
      <c r="H162" s="22" t="str">
        <f aca="false">IF($A162="","",SUMIFS(Sales!$C$2:$C$1001,Sales!$B$2:$B$1001,$A162))</f>
        <v/>
      </c>
      <c r="I162" s="22" t="str">
        <f aca="false">IF($A162="","",F162-H162)</f>
        <v/>
      </c>
      <c r="J162" s="23" t="str">
        <f aca="false">IF($A162="","",IF(I162&lt;=G162,"Reorder","OK"))</f>
        <v/>
      </c>
      <c r="K162" s="17" t="str">
        <f aca="false">IF($A162="","",SUMIFS(Sales!$H$2:$H$1001,Sales!$B$2:$B$1001,$A162))</f>
        <v/>
      </c>
      <c r="L162" s="17" t="str">
        <f aca="false">IF($A162="","",SUMIFS(Sales!$J$2:$J$1001,Sales!$B$2:$B$1001,$A162))</f>
        <v/>
      </c>
      <c r="M162" s="24" t="str">
        <f aca="false">IF($A162="","",IF(K162=0,0,L162/K162))</f>
        <v/>
      </c>
    </row>
    <row r="163" customFormat="false" ht="15" hidden="false" customHeight="false" outlineLevel="0" collapsed="false">
      <c r="A163" s="19"/>
      <c r="B163" s="19"/>
      <c r="C163" s="19"/>
      <c r="D163" s="21"/>
      <c r="E163" s="21"/>
      <c r="F163" s="19"/>
      <c r="G163" s="19"/>
      <c r="H163" s="22" t="str">
        <f aca="false">IF($A163="","",SUMIFS(Sales!$C$2:$C$1001,Sales!$B$2:$B$1001,$A163))</f>
        <v/>
      </c>
      <c r="I163" s="22" t="str">
        <f aca="false">IF($A163="","",F163-H163)</f>
        <v/>
      </c>
      <c r="J163" s="23" t="str">
        <f aca="false">IF($A163="","",IF(I163&lt;=G163,"Reorder","OK"))</f>
        <v/>
      </c>
      <c r="K163" s="17" t="str">
        <f aca="false">IF($A163="","",SUMIFS(Sales!$H$2:$H$1001,Sales!$B$2:$B$1001,$A163))</f>
        <v/>
      </c>
      <c r="L163" s="17" t="str">
        <f aca="false">IF($A163="","",SUMIFS(Sales!$J$2:$J$1001,Sales!$B$2:$B$1001,$A163))</f>
        <v/>
      </c>
      <c r="M163" s="24" t="str">
        <f aca="false">IF($A163="","",IF(K163=0,0,L163/K163))</f>
        <v/>
      </c>
    </row>
    <row r="164" customFormat="false" ht="15" hidden="false" customHeight="false" outlineLevel="0" collapsed="false">
      <c r="A164" s="19"/>
      <c r="B164" s="19"/>
      <c r="C164" s="19"/>
      <c r="D164" s="21"/>
      <c r="E164" s="21"/>
      <c r="F164" s="19"/>
      <c r="G164" s="19"/>
      <c r="H164" s="22" t="str">
        <f aca="false">IF($A164="","",SUMIFS(Sales!$C$2:$C$1001,Sales!$B$2:$B$1001,$A164))</f>
        <v/>
      </c>
      <c r="I164" s="22" t="str">
        <f aca="false">IF($A164="","",F164-H164)</f>
        <v/>
      </c>
      <c r="J164" s="23" t="str">
        <f aca="false">IF($A164="","",IF(I164&lt;=G164,"Reorder","OK"))</f>
        <v/>
      </c>
      <c r="K164" s="17" t="str">
        <f aca="false">IF($A164="","",SUMIFS(Sales!$H$2:$H$1001,Sales!$B$2:$B$1001,$A164))</f>
        <v/>
      </c>
      <c r="L164" s="17" t="str">
        <f aca="false">IF($A164="","",SUMIFS(Sales!$J$2:$J$1001,Sales!$B$2:$B$1001,$A164))</f>
        <v/>
      </c>
      <c r="M164" s="24" t="str">
        <f aca="false">IF($A164="","",IF(K164=0,0,L164/K164))</f>
        <v/>
      </c>
    </row>
    <row r="165" customFormat="false" ht="15" hidden="false" customHeight="false" outlineLevel="0" collapsed="false">
      <c r="A165" s="19"/>
      <c r="B165" s="19"/>
      <c r="C165" s="19"/>
      <c r="D165" s="21"/>
      <c r="E165" s="21"/>
      <c r="F165" s="19"/>
      <c r="G165" s="19"/>
      <c r="H165" s="22" t="str">
        <f aca="false">IF($A165="","",SUMIFS(Sales!$C$2:$C$1001,Sales!$B$2:$B$1001,$A165))</f>
        <v/>
      </c>
      <c r="I165" s="22" t="str">
        <f aca="false">IF($A165="","",F165-H165)</f>
        <v/>
      </c>
      <c r="J165" s="23" t="str">
        <f aca="false">IF($A165="","",IF(I165&lt;=G165,"Reorder","OK"))</f>
        <v/>
      </c>
      <c r="K165" s="17" t="str">
        <f aca="false">IF($A165="","",SUMIFS(Sales!$H$2:$H$1001,Sales!$B$2:$B$1001,$A165))</f>
        <v/>
      </c>
      <c r="L165" s="17" t="str">
        <f aca="false">IF($A165="","",SUMIFS(Sales!$J$2:$J$1001,Sales!$B$2:$B$1001,$A165))</f>
        <v/>
      </c>
      <c r="M165" s="24" t="str">
        <f aca="false">IF($A165="","",IF(K165=0,0,L165/K165))</f>
        <v/>
      </c>
    </row>
    <row r="166" customFormat="false" ht="15" hidden="false" customHeight="false" outlineLevel="0" collapsed="false">
      <c r="A166" s="19"/>
      <c r="B166" s="19"/>
      <c r="C166" s="19"/>
      <c r="D166" s="21"/>
      <c r="E166" s="21"/>
      <c r="F166" s="19"/>
      <c r="G166" s="19"/>
      <c r="H166" s="22" t="str">
        <f aca="false">IF($A166="","",SUMIFS(Sales!$C$2:$C$1001,Sales!$B$2:$B$1001,$A166))</f>
        <v/>
      </c>
      <c r="I166" s="22" t="str">
        <f aca="false">IF($A166="","",F166-H166)</f>
        <v/>
      </c>
      <c r="J166" s="23" t="str">
        <f aca="false">IF($A166="","",IF(I166&lt;=G166,"Reorder","OK"))</f>
        <v/>
      </c>
      <c r="K166" s="17" t="str">
        <f aca="false">IF($A166="","",SUMIFS(Sales!$H$2:$H$1001,Sales!$B$2:$B$1001,$A166))</f>
        <v/>
      </c>
      <c r="L166" s="17" t="str">
        <f aca="false">IF($A166="","",SUMIFS(Sales!$J$2:$J$1001,Sales!$B$2:$B$1001,$A166))</f>
        <v/>
      </c>
      <c r="M166" s="24" t="str">
        <f aca="false">IF($A166="","",IF(K166=0,0,L166/K166))</f>
        <v/>
      </c>
    </row>
    <row r="167" customFormat="false" ht="15" hidden="false" customHeight="false" outlineLevel="0" collapsed="false">
      <c r="A167" s="19"/>
      <c r="B167" s="19"/>
      <c r="C167" s="19"/>
      <c r="D167" s="21"/>
      <c r="E167" s="21"/>
      <c r="F167" s="19"/>
      <c r="G167" s="19"/>
      <c r="H167" s="22" t="str">
        <f aca="false">IF($A167="","",SUMIFS(Sales!$C$2:$C$1001,Sales!$B$2:$B$1001,$A167))</f>
        <v/>
      </c>
      <c r="I167" s="22" t="str">
        <f aca="false">IF($A167="","",F167-H167)</f>
        <v/>
      </c>
      <c r="J167" s="23" t="str">
        <f aca="false">IF($A167="","",IF(I167&lt;=G167,"Reorder","OK"))</f>
        <v/>
      </c>
      <c r="K167" s="17" t="str">
        <f aca="false">IF($A167="","",SUMIFS(Sales!$H$2:$H$1001,Sales!$B$2:$B$1001,$A167))</f>
        <v/>
      </c>
      <c r="L167" s="17" t="str">
        <f aca="false">IF($A167="","",SUMIFS(Sales!$J$2:$J$1001,Sales!$B$2:$B$1001,$A167))</f>
        <v/>
      </c>
      <c r="M167" s="24" t="str">
        <f aca="false">IF($A167="","",IF(K167=0,0,L167/K167))</f>
        <v/>
      </c>
    </row>
    <row r="168" customFormat="false" ht="15" hidden="false" customHeight="false" outlineLevel="0" collapsed="false">
      <c r="A168" s="19"/>
      <c r="B168" s="19"/>
      <c r="C168" s="19"/>
      <c r="D168" s="21"/>
      <c r="E168" s="21"/>
      <c r="F168" s="19"/>
      <c r="G168" s="19"/>
      <c r="H168" s="22" t="str">
        <f aca="false">IF($A168="","",SUMIFS(Sales!$C$2:$C$1001,Sales!$B$2:$B$1001,$A168))</f>
        <v/>
      </c>
      <c r="I168" s="22" t="str">
        <f aca="false">IF($A168="","",F168-H168)</f>
        <v/>
      </c>
      <c r="J168" s="23" t="str">
        <f aca="false">IF($A168="","",IF(I168&lt;=G168,"Reorder","OK"))</f>
        <v/>
      </c>
      <c r="K168" s="17" t="str">
        <f aca="false">IF($A168="","",SUMIFS(Sales!$H$2:$H$1001,Sales!$B$2:$B$1001,$A168))</f>
        <v/>
      </c>
      <c r="L168" s="17" t="str">
        <f aca="false">IF($A168="","",SUMIFS(Sales!$J$2:$J$1001,Sales!$B$2:$B$1001,$A168))</f>
        <v/>
      </c>
      <c r="M168" s="24" t="str">
        <f aca="false">IF($A168="","",IF(K168=0,0,L168/K168))</f>
        <v/>
      </c>
    </row>
    <row r="169" customFormat="false" ht="15" hidden="false" customHeight="false" outlineLevel="0" collapsed="false">
      <c r="A169" s="19"/>
      <c r="B169" s="19"/>
      <c r="C169" s="19"/>
      <c r="D169" s="21"/>
      <c r="E169" s="21"/>
      <c r="F169" s="19"/>
      <c r="G169" s="19"/>
      <c r="H169" s="22" t="str">
        <f aca="false">IF($A169="","",SUMIFS(Sales!$C$2:$C$1001,Sales!$B$2:$B$1001,$A169))</f>
        <v/>
      </c>
      <c r="I169" s="22" t="str">
        <f aca="false">IF($A169="","",F169-H169)</f>
        <v/>
      </c>
      <c r="J169" s="23" t="str">
        <f aca="false">IF($A169="","",IF(I169&lt;=G169,"Reorder","OK"))</f>
        <v/>
      </c>
      <c r="K169" s="17" t="str">
        <f aca="false">IF($A169="","",SUMIFS(Sales!$H$2:$H$1001,Sales!$B$2:$B$1001,$A169))</f>
        <v/>
      </c>
      <c r="L169" s="17" t="str">
        <f aca="false">IF($A169="","",SUMIFS(Sales!$J$2:$J$1001,Sales!$B$2:$B$1001,$A169))</f>
        <v/>
      </c>
      <c r="M169" s="24" t="str">
        <f aca="false">IF($A169="","",IF(K169=0,0,L169/K169))</f>
        <v/>
      </c>
    </row>
    <row r="170" customFormat="false" ht="15" hidden="false" customHeight="false" outlineLevel="0" collapsed="false">
      <c r="A170" s="19"/>
      <c r="B170" s="19"/>
      <c r="C170" s="19"/>
      <c r="D170" s="21"/>
      <c r="E170" s="21"/>
      <c r="F170" s="19"/>
      <c r="G170" s="19"/>
      <c r="H170" s="22" t="str">
        <f aca="false">IF($A170="","",SUMIFS(Sales!$C$2:$C$1001,Sales!$B$2:$B$1001,$A170))</f>
        <v/>
      </c>
      <c r="I170" s="22" t="str">
        <f aca="false">IF($A170="","",F170-H170)</f>
        <v/>
      </c>
      <c r="J170" s="23" t="str">
        <f aca="false">IF($A170="","",IF(I170&lt;=G170,"Reorder","OK"))</f>
        <v/>
      </c>
      <c r="K170" s="17" t="str">
        <f aca="false">IF($A170="","",SUMIFS(Sales!$H$2:$H$1001,Sales!$B$2:$B$1001,$A170))</f>
        <v/>
      </c>
      <c r="L170" s="17" t="str">
        <f aca="false">IF($A170="","",SUMIFS(Sales!$J$2:$J$1001,Sales!$B$2:$B$1001,$A170))</f>
        <v/>
      </c>
      <c r="M170" s="24" t="str">
        <f aca="false">IF($A170="","",IF(K170=0,0,L170/K170))</f>
        <v/>
      </c>
    </row>
    <row r="171" customFormat="false" ht="15" hidden="false" customHeight="false" outlineLevel="0" collapsed="false">
      <c r="A171" s="19"/>
      <c r="B171" s="19"/>
      <c r="C171" s="19"/>
      <c r="D171" s="21"/>
      <c r="E171" s="21"/>
      <c r="F171" s="19"/>
      <c r="G171" s="19"/>
      <c r="H171" s="22" t="str">
        <f aca="false">IF($A171="","",SUMIFS(Sales!$C$2:$C$1001,Sales!$B$2:$B$1001,$A171))</f>
        <v/>
      </c>
      <c r="I171" s="22" t="str">
        <f aca="false">IF($A171="","",F171-H171)</f>
        <v/>
      </c>
      <c r="J171" s="23" t="str">
        <f aca="false">IF($A171="","",IF(I171&lt;=G171,"Reorder","OK"))</f>
        <v/>
      </c>
      <c r="K171" s="17" t="str">
        <f aca="false">IF($A171="","",SUMIFS(Sales!$H$2:$H$1001,Sales!$B$2:$B$1001,$A171))</f>
        <v/>
      </c>
      <c r="L171" s="17" t="str">
        <f aca="false">IF($A171="","",SUMIFS(Sales!$J$2:$J$1001,Sales!$B$2:$B$1001,$A171))</f>
        <v/>
      </c>
      <c r="M171" s="24" t="str">
        <f aca="false">IF($A171="","",IF(K171=0,0,L171/K171))</f>
        <v/>
      </c>
    </row>
    <row r="172" customFormat="false" ht="15" hidden="false" customHeight="false" outlineLevel="0" collapsed="false">
      <c r="A172" s="19"/>
      <c r="B172" s="19"/>
      <c r="C172" s="19"/>
      <c r="D172" s="21"/>
      <c r="E172" s="21"/>
      <c r="F172" s="19"/>
      <c r="G172" s="19"/>
      <c r="H172" s="22" t="str">
        <f aca="false">IF($A172="","",SUMIFS(Sales!$C$2:$C$1001,Sales!$B$2:$B$1001,$A172))</f>
        <v/>
      </c>
      <c r="I172" s="22" t="str">
        <f aca="false">IF($A172="","",F172-H172)</f>
        <v/>
      </c>
      <c r="J172" s="23" t="str">
        <f aca="false">IF($A172="","",IF(I172&lt;=G172,"Reorder","OK"))</f>
        <v/>
      </c>
      <c r="K172" s="17" t="str">
        <f aca="false">IF($A172="","",SUMIFS(Sales!$H$2:$H$1001,Sales!$B$2:$B$1001,$A172))</f>
        <v/>
      </c>
      <c r="L172" s="17" t="str">
        <f aca="false">IF($A172="","",SUMIFS(Sales!$J$2:$J$1001,Sales!$B$2:$B$1001,$A172))</f>
        <v/>
      </c>
      <c r="M172" s="24" t="str">
        <f aca="false">IF($A172="","",IF(K172=0,0,L172/K172))</f>
        <v/>
      </c>
    </row>
    <row r="173" customFormat="false" ht="15" hidden="false" customHeight="false" outlineLevel="0" collapsed="false">
      <c r="A173" s="19"/>
      <c r="B173" s="19"/>
      <c r="C173" s="19"/>
      <c r="D173" s="21"/>
      <c r="E173" s="21"/>
      <c r="F173" s="19"/>
      <c r="G173" s="19"/>
      <c r="H173" s="22" t="str">
        <f aca="false">IF($A173="","",SUMIFS(Sales!$C$2:$C$1001,Sales!$B$2:$B$1001,$A173))</f>
        <v/>
      </c>
      <c r="I173" s="22" t="str">
        <f aca="false">IF($A173="","",F173-H173)</f>
        <v/>
      </c>
      <c r="J173" s="23" t="str">
        <f aca="false">IF($A173="","",IF(I173&lt;=G173,"Reorder","OK"))</f>
        <v/>
      </c>
      <c r="K173" s="17" t="str">
        <f aca="false">IF($A173="","",SUMIFS(Sales!$H$2:$H$1001,Sales!$B$2:$B$1001,$A173))</f>
        <v/>
      </c>
      <c r="L173" s="17" t="str">
        <f aca="false">IF($A173="","",SUMIFS(Sales!$J$2:$J$1001,Sales!$B$2:$B$1001,$A173))</f>
        <v/>
      </c>
      <c r="M173" s="24" t="str">
        <f aca="false">IF($A173="","",IF(K173=0,0,L173/K173))</f>
        <v/>
      </c>
    </row>
    <row r="174" customFormat="false" ht="15" hidden="false" customHeight="false" outlineLevel="0" collapsed="false">
      <c r="A174" s="19"/>
      <c r="B174" s="19"/>
      <c r="C174" s="19"/>
      <c r="D174" s="21"/>
      <c r="E174" s="21"/>
      <c r="F174" s="19"/>
      <c r="G174" s="19"/>
      <c r="H174" s="22" t="str">
        <f aca="false">IF($A174="","",SUMIFS(Sales!$C$2:$C$1001,Sales!$B$2:$B$1001,$A174))</f>
        <v/>
      </c>
      <c r="I174" s="22" t="str">
        <f aca="false">IF($A174="","",F174-H174)</f>
        <v/>
      </c>
      <c r="J174" s="23" t="str">
        <f aca="false">IF($A174="","",IF(I174&lt;=G174,"Reorder","OK"))</f>
        <v/>
      </c>
      <c r="K174" s="17" t="str">
        <f aca="false">IF($A174="","",SUMIFS(Sales!$H$2:$H$1001,Sales!$B$2:$B$1001,$A174))</f>
        <v/>
      </c>
      <c r="L174" s="17" t="str">
        <f aca="false">IF($A174="","",SUMIFS(Sales!$J$2:$J$1001,Sales!$B$2:$B$1001,$A174))</f>
        <v/>
      </c>
      <c r="M174" s="24" t="str">
        <f aca="false">IF($A174="","",IF(K174=0,0,L174/K174))</f>
        <v/>
      </c>
    </row>
    <row r="175" customFormat="false" ht="15" hidden="false" customHeight="false" outlineLevel="0" collapsed="false">
      <c r="A175" s="19"/>
      <c r="B175" s="19"/>
      <c r="C175" s="19"/>
      <c r="D175" s="21"/>
      <c r="E175" s="21"/>
      <c r="F175" s="19"/>
      <c r="G175" s="19"/>
      <c r="H175" s="22" t="str">
        <f aca="false">IF($A175="","",SUMIFS(Sales!$C$2:$C$1001,Sales!$B$2:$B$1001,$A175))</f>
        <v/>
      </c>
      <c r="I175" s="22" t="str">
        <f aca="false">IF($A175="","",F175-H175)</f>
        <v/>
      </c>
      <c r="J175" s="23" t="str">
        <f aca="false">IF($A175="","",IF(I175&lt;=G175,"Reorder","OK"))</f>
        <v/>
      </c>
      <c r="K175" s="17" t="str">
        <f aca="false">IF($A175="","",SUMIFS(Sales!$H$2:$H$1001,Sales!$B$2:$B$1001,$A175))</f>
        <v/>
      </c>
      <c r="L175" s="17" t="str">
        <f aca="false">IF($A175="","",SUMIFS(Sales!$J$2:$J$1001,Sales!$B$2:$B$1001,$A175))</f>
        <v/>
      </c>
      <c r="M175" s="24" t="str">
        <f aca="false">IF($A175="","",IF(K175=0,0,L175/K175))</f>
        <v/>
      </c>
    </row>
    <row r="176" customFormat="false" ht="15" hidden="false" customHeight="false" outlineLevel="0" collapsed="false">
      <c r="A176" s="19"/>
      <c r="B176" s="19"/>
      <c r="C176" s="19"/>
      <c r="D176" s="21"/>
      <c r="E176" s="21"/>
      <c r="F176" s="19"/>
      <c r="G176" s="19"/>
      <c r="H176" s="22" t="str">
        <f aca="false">IF($A176="","",SUMIFS(Sales!$C$2:$C$1001,Sales!$B$2:$B$1001,$A176))</f>
        <v/>
      </c>
      <c r="I176" s="22" t="str">
        <f aca="false">IF($A176="","",F176-H176)</f>
        <v/>
      </c>
      <c r="J176" s="23" t="str">
        <f aca="false">IF($A176="","",IF(I176&lt;=G176,"Reorder","OK"))</f>
        <v/>
      </c>
      <c r="K176" s="17" t="str">
        <f aca="false">IF($A176="","",SUMIFS(Sales!$H$2:$H$1001,Sales!$B$2:$B$1001,$A176))</f>
        <v/>
      </c>
      <c r="L176" s="17" t="str">
        <f aca="false">IF($A176="","",SUMIFS(Sales!$J$2:$J$1001,Sales!$B$2:$B$1001,$A176))</f>
        <v/>
      </c>
      <c r="M176" s="24" t="str">
        <f aca="false">IF($A176="","",IF(K176=0,0,L176/K176))</f>
        <v/>
      </c>
    </row>
    <row r="177" customFormat="false" ht="15" hidden="false" customHeight="false" outlineLevel="0" collapsed="false">
      <c r="A177" s="19"/>
      <c r="B177" s="19"/>
      <c r="C177" s="19"/>
      <c r="D177" s="21"/>
      <c r="E177" s="21"/>
      <c r="F177" s="19"/>
      <c r="G177" s="19"/>
      <c r="H177" s="22" t="str">
        <f aca="false">IF($A177="","",SUMIFS(Sales!$C$2:$C$1001,Sales!$B$2:$B$1001,$A177))</f>
        <v/>
      </c>
      <c r="I177" s="22" t="str">
        <f aca="false">IF($A177="","",F177-H177)</f>
        <v/>
      </c>
      <c r="J177" s="23" t="str">
        <f aca="false">IF($A177="","",IF(I177&lt;=G177,"Reorder","OK"))</f>
        <v/>
      </c>
      <c r="K177" s="17" t="str">
        <f aca="false">IF($A177="","",SUMIFS(Sales!$H$2:$H$1001,Sales!$B$2:$B$1001,$A177))</f>
        <v/>
      </c>
      <c r="L177" s="17" t="str">
        <f aca="false">IF($A177="","",SUMIFS(Sales!$J$2:$J$1001,Sales!$B$2:$B$1001,$A177))</f>
        <v/>
      </c>
      <c r="M177" s="24" t="str">
        <f aca="false">IF($A177="","",IF(K177=0,0,L177/K177))</f>
        <v/>
      </c>
    </row>
    <row r="178" customFormat="false" ht="15" hidden="false" customHeight="false" outlineLevel="0" collapsed="false">
      <c r="A178" s="19"/>
      <c r="B178" s="19"/>
      <c r="C178" s="19"/>
      <c r="D178" s="21"/>
      <c r="E178" s="21"/>
      <c r="F178" s="19"/>
      <c r="G178" s="19"/>
      <c r="H178" s="22" t="str">
        <f aca="false">IF($A178="","",SUMIFS(Sales!$C$2:$C$1001,Sales!$B$2:$B$1001,$A178))</f>
        <v/>
      </c>
      <c r="I178" s="22" t="str">
        <f aca="false">IF($A178="","",F178-H178)</f>
        <v/>
      </c>
      <c r="J178" s="23" t="str">
        <f aca="false">IF($A178="","",IF(I178&lt;=G178,"Reorder","OK"))</f>
        <v/>
      </c>
      <c r="K178" s="17" t="str">
        <f aca="false">IF($A178="","",SUMIFS(Sales!$H$2:$H$1001,Sales!$B$2:$B$1001,$A178))</f>
        <v/>
      </c>
      <c r="L178" s="17" t="str">
        <f aca="false">IF($A178="","",SUMIFS(Sales!$J$2:$J$1001,Sales!$B$2:$B$1001,$A178))</f>
        <v/>
      </c>
      <c r="M178" s="24" t="str">
        <f aca="false">IF($A178="","",IF(K178=0,0,L178/K178))</f>
        <v/>
      </c>
    </row>
    <row r="179" customFormat="false" ht="15" hidden="false" customHeight="false" outlineLevel="0" collapsed="false">
      <c r="A179" s="19"/>
      <c r="B179" s="19"/>
      <c r="C179" s="19"/>
      <c r="D179" s="21"/>
      <c r="E179" s="21"/>
      <c r="F179" s="19"/>
      <c r="G179" s="19"/>
      <c r="H179" s="22" t="str">
        <f aca="false">IF($A179="","",SUMIFS(Sales!$C$2:$C$1001,Sales!$B$2:$B$1001,$A179))</f>
        <v/>
      </c>
      <c r="I179" s="22" t="str">
        <f aca="false">IF($A179="","",F179-H179)</f>
        <v/>
      </c>
      <c r="J179" s="23" t="str">
        <f aca="false">IF($A179="","",IF(I179&lt;=G179,"Reorder","OK"))</f>
        <v/>
      </c>
      <c r="K179" s="17" t="str">
        <f aca="false">IF($A179="","",SUMIFS(Sales!$H$2:$H$1001,Sales!$B$2:$B$1001,$A179))</f>
        <v/>
      </c>
      <c r="L179" s="17" t="str">
        <f aca="false">IF($A179="","",SUMIFS(Sales!$J$2:$J$1001,Sales!$B$2:$B$1001,$A179))</f>
        <v/>
      </c>
      <c r="M179" s="24" t="str">
        <f aca="false">IF($A179="","",IF(K179=0,0,L179/K179))</f>
        <v/>
      </c>
    </row>
    <row r="180" customFormat="false" ht="15" hidden="false" customHeight="false" outlineLevel="0" collapsed="false">
      <c r="A180" s="19"/>
      <c r="B180" s="19"/>
      <c r="C180" s="19"/>
      <c r="D180" s="21"/>
      <c r="E180" s="21"/>
      <c r="F180" s="19"/>
      <c r="G180" s="19"/>
      <c r="H180" s="22" t="str">
        <f aca="false">IF($A180="","",SUMIFS(Sales!$C$2:$C$1001,Sales!$B$2:$B$1001,$A180))</f>
        <v/>
      </c>
      <c r="I180" s="22" t="str">
        <f aca="false">IF($A180="","",F180-H180)</f>
        <v/>
      </c>
      <c r="J180" s="23" t="str">
        <f aca="false">IF($A180="","",IF(I180&lt;=G180,"Reorder","OK"))</f>
        <v/>
      </c>
      <c r="K180" s="17" t="str">
        <f aca="false">IF($A180="","",SUMIFS(Sales!$H$2:$H$1001,Sales!$B$2:$B$1001,$A180))</f>
        <v/>
      </c>
      <c r="L180" s="17" t="str">
        <f aca="false">IF($A180="","",SUMIFS(Sales!$J$2:$J$1001,Sales!$B$2:$B$1001,$A180))</f>
        <v/>
      </c>
      <c r="M180" s="24" t="str">
        <f aca="false">IF($A180="","",IF(K180=0,0,L180/K180))</f>
        <v/>
      </c>
    </row>
    <row r="181" customFormat="false" ht="15" hidden="false" customHeight="false" outlineLevel="0" collapsed="false">
      <c r="A181" s="19"/>
      <c r="B181" s="19"/>
      <c r="C181" s="19"/>
      <c r="D181" s="21"/>
      <c r="E181" s="21"/>
      <c r="F181" s="19"/>
      <c r="G181" s="19"/>
      <c r="H181" s="22" t="str">
        <f aca="false">IF($A181="","",SUMIFS(Sales!$C$2:$C$1001,Sales!$B$2:$B$1001,$A181))</f>
        <v/>
      </c>
      <c r="I181" s="22" t="str">
        <f aca="false">IF($A181="","",F181-H181)</f>
        <v/>
      </c>
      <c r="J181" s="23" t="str">
        <f aca="false">IF($A181="","",IF(I181&lt;=G181,"Reorder","OK"))</f>
        <v/>
      </c>
      <c r="K181" s="17" t="str">
        <f aca="false">IF($A181="","",SUMIFS(Sales!$H$2:$H$1001,Sales!$B$2:$B$1001,$A181))</f>
        <v/>
      </c>
      <c r="L181" s="17" t="str">
        <f aca="false">IF($A181="","",SUMIFS(Sales!$J$2:$J$1001,Sales!$B$2:$B$1001,$A181))</f>
        <v/>
      </c>
      <c r="M181" s="24" t="str">
        <f aca="false">IF($A181="","",IF(K181=0,0,L181/K181))</f>
        <v/>
      </c>
    </row>
    <row r="182" customFormat="false" ht="15" hidden="false" customHeight="false" outlineLevel="0" collapsed="false">
      <c r="A182" s="19"/>
      <c r="B182" s="19"/>
      <c r="C182" s="19"/>
      <c r="D182" s="21"/>
      <c r="E182" s="21"/>
      <c r="F182" s="19"/>
      <c r="G182" s="19"/>
      <c r="H182" s="22" t="str">
        <f aca="false">IF($A182="","",SUMIFS(Sales!$C$2:$C$1001,Sales!$B$2:$B$1001,$A182))</f>
        <v/>
      </c>
      <c r="I182" s="22" t="str">
        <f aca="false">IF($A182="","",F182-H182)</f>
        <v/>
      </c>
      <c r="J182" s="23" t="str">
        <f aca="false">IF($A182="","",IF(I182&lt;=G182,"Reorder","OK"))</f>
        <v/>
      </c>
      <c r="K182" s="17" t="str">
        <f aca="false">IF($A182="","",SUMIFS(Sales!$H$2:$H$1001,Sales!$B$2:$B$1001,$A182))</f>
        <v/>
      </c>
      <c r="L182" s="17" t="str">
        <f aca="false">IF($A182="","",SUMIFS(Sales!$J$2:$J$1001,Sales!$B$2:$B$1001,$A182))</f>
        <v/>
      </c>
      <c r="M182" s="24" t="str">
        <f aca="false">IF($A182="","",IF(K182=0,0,L182/K182))</f>
        <v/>
      </c>
    </row>
    <row r="183" customFormat="false" ht="15" hidden="false" customHeight="false" outlineLevel="0" collapsed="false">
      <c r="A183" s="19"/>
      <c r="B183" s="19"/>
      <c r="C183" s="19"/>
      <c r="D183" s="21"/>
      <c r="E183" s="21"/>
      <c r="F183" s="19"/>
      <c r="G183" s="19"/>
      <c r="H183" s="22" t="str">
        <f aca="false">IF($A183="","",SUMIFS(Sales!$C$2:$C$1001,Sales!$B$2:$B$1001,$A183))</f>
        <v/>
      </c>
      <c r="I183" s="22" t="str">
        <f aca="false">IF($A183="","",F183-H183)</f>
        <v/>
      </c>
      <c r="J183" s="23" t="str">
        <f aca="false">IF($A183="","",IF(I183&lt;=G183,"Reorder","OK"))</f>
        <v/>
      </c>
      <c r="K183" s="17" t="str">
        <f aca="false">IF($A183="","",SUMIFS(Sales!$H$2:$H$1001,Sales!$B$2:$B$1001,$A183))</f>
        <v/>
      </c>
      <c r="L183" s="17" t="str">
        <f aca="false">IF($A183="","",SUMIFS(Sales!$J$2:$J$1001,Sales!$B$2:$B$1001,$A183))</f>
        <v/>
      </c>
      <c r="M183" s="24" t="str">
        <f aca="false">IF($A183="","",IF(K183=0,0,L183/K183))</f>
        <v/>
      </c>
    </row>
    <row r="184" customFormat="false" ht="15" hidden="false" customHeight="false" outlineLevel="0" collapsed="false">
      <c r="A184" s="19"/>
      <c r="B184" s="19"/>
      <c r="C184" s="19"/>
      <c r="D184" s="21"/>
      <c r="E184" s="21"/>
      <c r="F184" s="19"/>
      <c r="G184" s="19"/>
      <c r="H184" s="22" t="str">
        <f aca="false">IF($A184="","",SUMIFS(Sales!$C$2:$C$1001,Sales!$B$2:$B$1001,$A184))</f>
        <v/>
      </c>
      <c r="I184" s="22" t="str">
        <f aca="false">IF($A184="","",F184-H184)</f>
        <v/>
      </c>
      <c r="J184" s="23" t="str">
        <f aca="false">IF($A184="","",IF(I184&lt;=G184,"Reorder","OK"))</f>
        <v/>
      </c>
      <c r="K184" s="17" t="str">
        <f aca="false">IF($A184="","",SUMIFS(Sales!$H$2:$H$1001,Sales!$B$2:$B$1001,$A184))</f>
        <v/>
      </c>
      <c r="L184" s="17" t="str">
        <f aca="false">IF($A184="","",SUMIFS(Sales!$J$2:$J$1001,Sales!$B$2:$B$1001,$A184))</f>
        <v/>
      </c>
      <c r="M184" s="24" t="str">
        <f aca="false">IF($A184="","",IF(K184=0,0,L184/K184))</f>
        <v/>
      </c>
    </row>
    <row r="185" customFormat="false" ht="15" hidden="false" customHeight="false" outlineLevel="0" collapsed="false">
      <c r="A185" s="19"/>
      <c r="B185" s="19"/>
      <c r="C185" s="19"/>
      <c r="D185" s="21"/>
      <c r="E185" s="21"/>
      <c r="F185" s="19"/>
      <c r="G185" s="19"/>
      <c r="H185" s="22" t="str">
        <f aca="false">IF($A185="","",SUMIFS(Sales!$C$2:$C$1001,Sales!$B$2:$B$1001,$A185))</f>
        <v/>
      </c>
      <c r="I185" s="22" t="str">
        <f aca="false">IF($A185="","",F185-H185)</f>
        <v/>
      </c>
      <c r="J185" s="23" t="str">
        <f aca="false">IF($A185="","",IF(I185&lt;=G185,"Reorder","OK"))</f>
        <v/>
      </c>
      <c r="K185" s="17" t="str">
        <f aca="false">IF($A185="","",SUMIFS(Sales!$H$2:$H$1001,Sales!$B$2:$B$1001,$A185))</f>
        <v/>
      </c>
      <c r="L185" s="17" t="str">
        <f aca="false">IF($A185="","",SUMIFS(Sales!$J$2:$J$1001,Sales!$B$2:$B$1001,$A185))</f>
        <v/>
      </c>
      <c r="M185" s="24" t="str">
        <f aca="false">IF($A185="","",IF(K185=0,0,L185/K185))</f>
        <v/>
      </c>
    </row>
    <row r="186" customFormat="false" ht="15" hidden="false" customHeight="false" outlineLevel="0" collapsed="false">
      <c r="A186" s="19"/>
      <c r="B186" s="19"/>
      <c r="C186" s="19"/>
      <c r="D186" s="21"/>
      <c r="E186" s="21"/>
      <c r="F186" s="19"/>
      <c r="G186" s="19"/>
      <c r="H186" s="22" t="str">
        <f aca="false">IF($A186="","",SUMIFS(Sales!$C$2:$C$1001,Sales!$B$2:$B$1001,$A186))</f>
        <v/>
      </c>
      <c r="I186" s="22" t="str">
        <f aca="false">IF($A186="","",F186-H186)</f>
        <v/>
      </c>
      <c r="J186" s="23" t="str">
        <f aca="false">IF($A186="","",IF(I186&lt;=G186,"Reorder","OK"))</f>
        <v/>
      </c>
      <c r="K186" s="17" t="str">
        <f aca="false">IF($A186="","",SUMIFS(Sales!$H$2:$H$1001,Sales!$B$2:$B$1001,$A186))</f>
        <v/>
      </c>
      <c r="L186" s="17" t="str">
        <f aca="false">IF($A186="","",SUMIFS(Sales!$J$2:$J$1001,Sales!$B$2:$B$1001,$A186))</f>
        <v/>
      </c>
      <c r="M186" s="24" t="str">
        <f aca="false">IF($A186="","",IF(K186=0,0,L186/K186))</f>
        <v/>
      </c>
    </row>
    <row r="187" customFormat="false" ht="15" hidden="false" customHeight="false" outlineLevel="0" collapsed="false">
      <c r="A187" s="19"/>
      <c r="B187" s="19"/>
      <c r="C187" s="19"/>
      <c r="D187" s="21"/>
      <c r="E187" s="21"/>
      <c r="F187" s="19"/>
      <c r="G187" s="19"/>
      <c r="H187" s="22" t="str">
        <f aca="false">IF($A187="","",SUMIFS(Sales!$C$2:$C$1001,Sales!$B$2:$B$1001,$A187))</f>
        <v/>
      </c>
      <c r="I187" s="22" t="str">
        <f aca="false">IF($A187="","",F187-H187)</f>
        <v/>
      </c>
      <c r="J187" s="23" t="str">
        <f aca="false">IF($A187="","",IF(I187&lt;=G187,"Reorder","OK"))</f>
        <v/>
      </c>
      <c r="K187" s="17" t="str">
        <f aca="false">IF($A187="","",SUMIFS(Sales!$H$2:$H$1001,Sales!$B$2:$B$1001,$A187))</f>
        <v/>
      </c>
      <c r="L187" s="17" t="str">
        <f aca="false">IF($A187="","",SUMIFS(Sales!$J$2:$J$1001,Sales!$B$2:$B$1001,$A187))</f>
        <v/>
      </c>
      <c r="M187" s="24" t="str">
        <f aca="false">IF($A187="","",IF(K187=0,0,L187/K187))</f>
        <v/>
      </c>
    </row>
    <row r="188" customFormat="false" ht="15" hidden="false" customHeight="false" outlineLevel="0" collapsed="false">
      <c r="A188" s="19"/>
      <c r="B188" s="19"/>
      <c r="C188" s="19"/>
      <c r="D188" s="21"/>
      <c r="E188" s="21"/>
      <c r="F188" s="19"/>
      <c r="G188" s="19"/>
      <c r="H188" s="22" t="str">
        <f aca="false">IF($A188="","",SUMIFS(Sales!$C$2:$C$1001,Sales!$B$2:$B$1001,$A188))</f>
        <v/>
      </c>
      <c r="I188" s="22" t="str">
        <f aca="false">IF($A188="","",F188-H188)</f>
        <v/>
      </c>
      <c r="J188" s="23" t="str">
        <f aca="false">IF($A188="","",IF(I188&lt;=G188,"Reorder","OK"))</f>
        <v/>
      </c>
      <c r="K188" s="17" t="str">
        <f aca="false">IF($A188="","",SUMIFS(Sales!$H$2:$H$1001,Sales!$B$2:$B$1001,$A188))</f>
        <v/>
      </c>
      <c r="L188" s="17" t="str">
        <f aca="false">IF($A188="","",SUMIFS(Sales!$J$2:$J$1001,Sales!$B$2:$B$1001,$A188))</f>
        <v/>
      </c>
      <c r="M188" s="24" t="str">
        <f aca="false">IF($A188="","",IF(K188=0,0,L188/K188))</f>
        <v/>
      </c>
    </row>
    <row r="189" customFormat="false" ht="15" hidden="false" customHeight="false" outlineLevel="0" collapsed="false">
      <c r="A189" s="19"/>
      <c r="B189" s="19"/>
      <c r="C189" s="19"/>
      <c r="D189" s="21"/>
      <c r="E189" s="21"/>
      <c r="F189" s="19"/>
      <c r="G189" s="19"/>
      <c r="H189" s="22" t="str">
        <f aca="false">IF($A189="","",SUMIFS(Sales!$C$2:$C$1001,Sales!$B$2:$B$1001,$A189))</f>
        <v/>
      </c>
      <c r="I189" s="22" t="str">
        <f aca="false">IF($A189="","",F189-H189)</f>
        <v/>
      </c>
      <c r="J189" s="23" t="str">
        <f aca="false">IF($A189="","",IF(I189&lt;=G189,"Reorder","OK"))</f>
        <v/>
      </c>
      <c r="K189" s="17" t="str">
        <f aca="false">IF($A189="","",SUMIFS(Sales!$H$2:$H$1001,Sales!$B$2:$B$1001,$A189))</f>
        <v/>
      </c>
      <c r="L189" s="17" t="str">
        <f aca="false">IF($A189="","",SUMIFS(Sales!$J$2:$J$1001,Sales!$B$2:$B$1001,$A189))</f>
        <v/>
      </c>
      <c r="M189" s="24" t="str">
        <f aca="false">IF($A189="","",IF(K189=0,0,L189/K189))</f>
        <v/>
      </c>
    </row>
    <row r="190" customFormat="false" ht="15" hidden="false" customHeight="false" outlineLevel="0" collapsed="false">
      <c r="A190" s="19"/>
      <c r="B190" s="19"/>
      <c r="C190" s="19"/>
      <c r="D190" s="21"/>
      <c r="E190" s="21"/>
      <c r="F190" s="19"/>
      <c r="G190" s="19"/>
      <c r="H190" s="22" t="str">
        <f aca="false">IF($A190="","",SUMIFS(Sales!$C$2:$C$1001,Sales!$B$2:$B$1001,$A190))</f>
        <v/>
      </c>
      <c r="I190" s="22" t="str">
        <f aca="false">IF($A190="","",F190-H190)</f>
        <v/>
      </c>
      <c r="J190" s="23" t="str">
        <f aca="false">IF($A190="","",IF(I190&lt;=G190,"Reorder","OK"))</f>
        <v/>
      </c>
      <c r="K190" s="17" t="str">
        <f aca="false">IF($A190="","",SUMIFS(Sales!$H$2:$H$1001,Sales!$B$2:$B$1001,$A190))</f>
        <v/>
      </c>
      <c r="L190" s="17" t="str">
        <f aca="false">IF($A190="","",SUMIFS(Sales!$J$2:$J$1001,Sales!$B$2:$B$1001,$A190))</f>
        <v/>
      </c>
      <c r="M190" s="24" t="str">
        <f aca="false">IF($A190="","",IF(K190=0,0,L190/K190))</f>
        <v/>
      </c>
    </row>
    <row r="191" customFormat="false" ht="15" hidden="false" customHeight="false" outlineLevel="0" collapsed="false">
      <c r="A191" s="19"/>
      <c r="B191" s="19"/>
      <c r="C191" s="19"/>
      <c r="D191" s="21"/>
      <c r="E191" s="21"/>
      <c r="F191" s="19"/>
      <c r="G191" s="19"/>
      <c r="H191" s="22" t="str">
        <f aca="false">IF($A191="","",SUMIFS(Sales!$C$2:$C$1001,Sales!$B$2:$B$1001,$A191))</f>
        <v/>
      </c>
      <c r="I191" s="22" t="str">
        <f aca="false">IF($A191="","",F191-H191)</f>
        <v/>
      </c>
      <c r="J191" s="23" t="str">
        <f aca="false">IF($A191="","",IF(I191&lt;=G191,"Reorder","OK"))</f>
        <v/>
      </c>
      <c r="K191" s="17" t="str">
        <f aca="false">IF($A191="","",SUMIFS(Sales!$H$2:$H$1001,Sales!$B$2:$B$1001,$A191))</f>
        <v/>
      </c>
      <c r="L191" s="17" t="str">
        <f aca="false">IF($A191="","",SUMIFS(Sales!$J$2:$J$1001,Sales!$B$2:$B$1001,$A191))</f>
        <v/>
      </c>
      <c r="M191" s="24" t="str">
        <f aca="false">IF($A191="","",IF(K191=0,0,L191/K191))</f>
        <v/>
      </c>
    </row>
    <row r="192" customFormat="false" ht="15" hidden="false" customHeight="false" outlineLevel="0" collapsed="false">
      <c r="A192" s="19"/>
      <c r="B192" s="19"/>
      <c r="C192" s="19"/>
      <c r="D192" s="21"/>
      <c r="E192" s="21"/>
      <c r="F192" s="19"/>
      <c r="G192" s="19"/>
      <c r="H192" s="22" t="str">
        <f aca="false">IF($A192="","",SUMIFS(Sales!$C$2:$C$1001,Sales!$B$2:$B$1001,$A192))</f>
        <v/>
      </c>
      <c r="I192" s="22" t="str">
        <f aca="false">IF($A192="","",F192-H192)</f>
        <v/>
      </c>
      <c r="J192" s="23" t="str">
        <f aca="false">IF($A192="","",IF(I192&lt;=G192,"Reorder","OK"))</f>
        <v/>
      </c>
      <c r="K192" s="17" t="str">
        <f aca="false">IF($A192="","",SUMIFS(Sales!$H$2:$H$1001,Sales!$B$2:$B$1001,$A192))</f>
        <v/>
      </c>
      <c r="L192" s="17" t="str">
        <f aca="false">IF($A192="","",SUMIFS(Sales!$J$2:$J$1001,Sales!$B$2:$B$1001,$A192))</f>
        <v/>
      </c>
      <c r="M192" s="24" t="str">
        <f aca="false">IF($A192="","",IF(K192=0,0,L192/K192))</f>
        <v/>
      </c>
    </row>
    <row r="193" customFormat="false" ht="15" hidden="false" customHeight="false" outlineLevel="0" collapsed="false">
      <c r="A193" s="19"/>
      <c r="B193" s="19"/>
      <c r="C193" s="19"/>
      <c r="D193" s="21"/>
      <c r="E193" s="21"/>
      <c r="F193" s="19"/>
      <c r="G193" s="19"/>
      <c r="H193" s="22" t="str">
        <f aca="false">IF($A193="","",SUMIFS(Sales!$C$2:$C$1001,Sales!$B$2:$B$1001,$A193))</f>
        <v/>
      </c>
      <c r="I193" s="22" t="str">
        <f aca="false">IF($A193="","",F193-H193)</f>
        <v/>
      </c>
      <c r="J193" s="23" t="str">
        <f aca="false">IF($A193="","",IF(I193&lt;=G193,"Reorder","OK"))</f>
        <v/>
      </c>
      <c r="K193" s="17" t="str">
        <f aca="false">IF($A193="","",SUMIFS(Sales!$H$2:$H$1001,Sales!$B$2:$B$1001,$A193))</f>
        <v/>
      </c>
      <c r="L193" s="17" t="str">
        <f aca="false">IF($A193="","",SUMIFS(Sales!$J$2:$J$1001,Sales!$B$2:$B$1001,$A193))</f>
        <v/>
      </c>
      <c r="M193" s="24" t="str">
        <f aca="false">IF($A193="","",IF(K193=0,0,L193/K193))</f>
        <v/>
      </c>
    </row>
    <row r="194" customFormat="false" ht="15" hidden="false" customHeight="false" outlineLevel="0" collapsed="false">
      <c r="A194" s="19"/>
      <c r="B194" s="19"/>
      <c r="C194" s="19"/>
      <c r="D194" s="21"/>
      <c r="E194" s="21"/>
      <c r="F194" s="19"/>
      <c r="G194" s="19"/>
      <c r="H194" s="22" t="str">
        <f aca="false">IF($A194="","",SUMIFS(Sales!$C$2:$C$1001,Sales!$B$2:$B$1001,$A194))</f>
        <v/>
      </c>
      <c r="I194" s="22" t="str">
        <f aca="false">IF($A194="","",F194-H194)</f>
        <v/>
      </c>
      <c r="J194" s="23" t="str">
        <f aca="false">IF($A194="","",IF(I194&lt;=G194,"Reorder","OK"))</f>
        <v/>
      </c>
      <c r="K194" s="17" t="str">
        <f aca="false">IF($A194="","",SUMIFS(Sales!$H$2:$H$1001,Sales!$B$2:$B$1001,$A194))</f>
        <v/>
      </c>
      <c r="L194" s="17" t="str">
        <f aca="false">IF($A194="","",SUMIFS(Sales!$J$2:$J$1001,Sales!$B$2:$B$1001,$A194))</f>
        <v/>
      </c>
      <c r="M194" s="24" t="str">
        <f aca="false">IF($A194="","",IF(K194=0,0,L194/K194))</f>
        <v/>
      </c>
    </row>
    <row r="195" customFormat="false" ht="15" hidden="false" customHeight="false" outlineLevel="0" collapsed="false">
      <c r="A195" s="19"/>
      <c r="B195" s="19"/>
      <c r="C195" s="19"/>
      <c r="D195" s="21"/>
      <c r="E195" s="21"/>
      <c r="F195" s="19"/>
      <c r="G195" s="19"/>
      <c r="H195" s="22" t="str">
        <f aca="false">IF($A195="","",SUMIFS(Sales!$C$2:$C$1001,Sales!$B$2:$B$1001,$A195))</f>
        <v/>
      </c>
      <c r="I195" s="22" t="str">
        <f aca="false">IF($A195="","",F195-H195)</f>
        <v/>
      </c>
      <c r="J195" s="23" t="str">
        <f aca="false">IF($A195="","",IF(I195&lt;=G195,"Reorder","OK"))</f>
        <v/>
      </c>
      <c r="K195" s="17" t="str">
        <f aca="false">IF($A195="","",SUMIFS(Sales!$H$2:$H$1001,Sales!$B$2:$B$1001,$A195))</f>
        <v/>
      </c>
      <c r="L195" s="17" t="str">
        <f aca="false">IF($A195="","",SUMIFS(Sales!$J$2:$J$1001,Sales!$B$2:$B$1001,$A195))</f>
        <v/>
      </c>
      <c r="M195" s="24" t="str">
        <f aca="false">IF($A195="","",IF(K195=0,0,L195/K195))</f>
        <v/>
      </c>
    </row>
    <row r="196" customFormat="false" ht="15" hidden="false" customHeight="false" outlineLevel="0" collapsed="false">
      <c r="A196" s="19"/>
      <c r="B196" s="19"/>
      <c r="C196" s="19"/>
      <c r="D196" s="21"/>
      <c r="E196" s="21"/>
      <c r="F196" s="19"/>
      <c r="G196" s="19"/>
      <c r="H196" s="22" t="str">
        <f aca="false">IF($A196="","",SUMIFS(Sales!$C$2:$C$1001,Sales!$B$2:$B$1001,$A196))</f>
        <v/>
      </c>
      <c r="I196" s="22" t="str">
        <f aca="false">IF($A196="","",F196-H196)</f>
        <v/>
      </c>
      <c r="J196" s="23" t="str">
        <f aca="false">IF($A196="","",IF(I196&lt;=G196,"Reorder","OK"))</f>
        <v/>
      </c>
      <c r="K196" s="17" t="str">
        <f aca="false">IF($A196="","",SUMIFS(Sales!$H$2:$H$1001,Sales!$B$2:$B$1001,$A196))</f>
        <v/>
      </c>
      <c r="L196" s="17" t="str">
        <f aca="false">IF($A196="","",SUMIFS(Sales!$J$2:$J$1001,Sales!$B$2:$B$1001,$A196))</f>
        <v/>
      </c>
      <c r="M196" s="24" t="str">
        <f aca="false">IF($A196="","",IF(K196=0,0,L196/K196))</f>
        <v/>
      </c>
    </row>
    <row r="197" customFormat="false" ht="15" hidden="false" customHeight="false" outlineLevel="0" collapsed="false">
      <c r="A197" s="19"/>
      <c r="B197" s="19"/>
      <c r="C197" s="19"/>
      <c r="D197" s="21"/>
      <c r="E197" s="21"/>
      <c r="F197" s="19"/>
      <c r="G197" s="19"/>
      <c r="H197" s="22" t="str">
        <f aca="false">IF($A197="","",SUMIFS(Sales!$C$2:$C$1001,Sales!$B$2:$B$1001,$A197))</f>
        <v/>
      </c>
      <c r="I197" s="22" t="str">
        <f aca="false">IF($A197="","",F197-H197)</f>
        <v/>
      </c>
      <c r="J197" s="23" t="str">
        <f aca="false">IF($A197="","",IF(I197&lt;=G197,"Reorder","OK"))</f>
        <v/>
      </c>
      <c r="K197" s="17" t="str">
        <f aca="false">IF($A197="","",SUMIFS(Sales!$H$2:$H$1001,Sales!$B$2:$B$1001,$A197))</f>
        <v/>
      </c>
      <c r="L197" s="17" t="str">
        <f aca="false">IF($A197="","",SUMIFS(Sales!$J$2:$J$1001,Sales!$B$2:$B$1001,$A197))</f>
        <v/>
      </c>
      <c r="M197" s="24" t="str">
        <f aca="false">IF($A197="","",IF(K197=0,0,L197/K197))</f>
        <v/>
      </c>
    </row>
    <row r="198" customFormat="false" ht="15" hidden="false" customHeight="false" outlineLevel="0" collapsed="false">
      <c r="A198" s="19"/>
      <c r="B198" s="19"/>
      <c r="C198" s="19"/>
      <c r="D198" s="21"/>
      <c r="E198" s="21"/>
      <c r="F198" s="19"/>
      <c r="G198" s="19"/>
      <c r="H198" s="22" t="str">
        <f aca="false">IF($A198="","",SUMIFS(Sales!$C$2:$C$1001,Sales!$B$2:$B$1001,$A198))</f>
        <v/>
      </c>
      <c r="I198" s="22" t="str">
        <f aca="false">IF($A198="","",F198-H198)</f>
        <v/>
      </c>
      <c r="J198" s="23" t="str">
        <f aca="false">IF($A198="","",IF(I198&lt;=G198,"Reorder","OK"))</f>
        <v/>
      </c>
      <c r="K198" s="17" t="str">
        <f aca="false">IF($A198="","",SUMIFS(Sales!$H$2:$H$1001,Sales!$B$2:$B$1001,$A198))</f>
        <v/>
      </c>
      <c r="L198" s="17" t="str">
        <f aca="false">IF($A198="","",SUMIFS(Sales!$J$2:$J$1001,Sales!$B$2:$B$1001,$A198))</f>
        <v/>
      </c>
      <c r="M198" s="24" t="str">
        <f aca="false">IF($A198="","",IF(K198=0,0,L198/K198))</f>
        <v/>
      </c>
    </row>
    <row r="199" customFormat="false" ht="15" hidden="false" customHeight="false" outlineLevel="0" collapsed="false">
      <c r="A199" s="19"/>
      <c r="B199" s="19"/>
      <c r="C199" s="19"/>
      <c r="D199" s="21"/>
      <c r="E199" s="21"/>
      <c r="F199" s="19"/>
      <c r="G199" s="19"/>
      <c r="H199" s="22" t="str">
        <f aca="false">IF($A199="","",SUMIFS(Sales!$C$2:$C$1001,Sales!$B$2:$B$1001,$A199))</f>
        <v/>
      </c>
      <c r="I199" s="22" t="str">
        <f aca="false">IF($A199="","",F199-H199)</f>
        <v/>
      </c>
      <c r="J199" s="23" t="str">
        <f aca="false">IF($A199="","",IF(I199&lt;=G199,"Reorder","OK"))</f>
        <v/>
      </c>
      <c r="K199" s="17" t="str">
        <f aca="false">IF($A199="","",SUMIFS(Sales!$H$2:$H$1001,Sales!$B$2:$B$1001,$A199))</f>
        <v/>
      </c>
      <c r="L199" s="17" t="str">
        <f aca="false">IF($A199="","",SUMIFS(Sales!$J$2:$J$1001,Sales!$B$2:$B$1001,$A199))</f>
        <v/>
      </c>
      <c r="M199" s="24" t="str">
        <f aca="false">IF($A199="","",IF(K199=0,0,L199/K199))</f>
        <v/>
      </c>
    </row>
    <row r="200" customFormat="false" ht="15" hidden="false" customHeight="false" outlineLevel="0" collapsed="false">
      <c r="A200" s="19"/>
      <c r="B200" s="19"/>
      <c r="C200" s="19"/>
      <c r="D200" s="21"/>
      <c r="E200" s="21"/>
      <c r="F200" s="19"/>
      <c r="G200" s="19"/>
      <c r="H200" s="22" t="str">
        <f aca="false">IF($A200="","",SUMIFS(Sales!$C$2:$C$1001,Sales!$B$2:$B$1001,$A200))</f>
        <v/>
      </c>
      <c r="I200" s="22" t="str">
        <f aca="false">IF($A200="","",F200-H200)</f>
        <v/>
      </c>
      <c r="J200" s="23" t="str">
        <f aca="false">IF($A200="","",IF(I200&lt;=G200,"Reorder","OK"))</f>
        <v/>
      </c>
      <c r="K200" s="17" t="str">
        <f aca="false">IF($A200="","",SUMIFS(Sales!$H$2:$H$1001,Sales!$B$2:$B$1001,$A200))</f>
        <v/>
      </c>
      <c r="L200" s="17" t="str">
        <f aca="false">IF($A200="","",SUMIFS(Sales!$J$2:$J$1001,Sales!$B$2:$B$1001,$A200))</f>
        <v/>
      </c>
      <c r="M200" s="24" t="str">
        <f aca="false">IF($A200="","",IF(K200=0,0,L200/K200))</f>
        <v/>
      </c>
    </row>
    <row r="201" customFormat="false" ht="15" hidden="false" customHeight="false" outlineLevel="0" collapsed="false">
      <c r="A201" s="19"/>
      <c r="B201" s="19"/>
      <c r="C201" s="19"/>
      <c r="D201" s="21"/>
      <c r="E201" s="21"/>
      <c r="F201" s="19"/>
      <c r="G201" s="19"/>
      <c r="H201" s="22" t="str">
        <f aca="false">IF($A201="","",SUMIFS(Sales!$C$2:$C$1001,Sales!$B$2:$B$1001,$A201))</f>
        <v/>
      </c>
      <c r="I201" s="22" t="str">
        <f aca="false">IF($A201="","",F201-H201)</f>
        <v/>
      </c>
      <c r="J201" s="23" t="str">
        <f aca="false">IF($A201="","",IF(I201&lt;=G201,"Reorder","OK"))</f>
        <v/>
      </c>
      <c r="K201" s="17" t="str">
        <f aca="false">IF($A201="","",SUMIFS(Sales!$H$2:$H$1001,Sales!$B$2:$B$1001,$A201))</f>
        <v/>
      </c>
      <c r="L201" s="17" t="str">
        <f aca="false">IF($A201="","",SUMIFS(Sales!$J$2:$J$1001,Sales!$B$2:$B$1001,$A201))</f>
        <v/>
      </c>
      <c r="M201" s="24" t="str">
        <f aca="false">IF($A201="","",IF(K201=0,0,L201/K201))</f>
        <v/>
      </c>
    </row>
  </sheetData>
  <autoFilter ref="A1:M201"/>
  <conditionalFormatting sqref="J2:J201">
    <cfRule type="cellIs" priority="2" operator="equal" aboveAverage="0" equalAverage="0" bottom="0" percent="0" rank="0" text="" dxfId="7">
      <formula>"Reorder"</formula>
    </cfRule>
  </conditionalFormatting>
  <dataValidations count="1">
    <dataValidation allowBlank="true" errorStyle="stop" operator="greaterThanOrEqual" showDropDown="false" showErrorMessage="false" showInputMessage="false" sqref="D2:G2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10" min="8" style="0" width="13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15" t="s">
        <v>64</v>
      </c>
      <c r="B1" s="15" t="s">
        <v>32</v>
      </c>
      <c r="C1" s="15" t="s">
        <v>65</v>
      </c>
      <c r="D1" s="15" t="s">
        <v>66</v>
      </c>
      <c r="E1" s="15" t="s">
        <v>33</v>
      </c>
      <c r="F1" s="15" t="s">
        <v>26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23</v>
      </c>
    </row>
    <row r="2" customFormat="false" ht="15" hidden="false" customHeight="false" outlineLevel="0" collapsed="false">
      <c r="A2" s="25" t="n">
        <v>46026</v>
      </c>
      <c r="B2" s="19" t="s">
        <v>42</v>
      </c>
      <c r="C2" s="19" t="n">
        <v>1</v>
      </c>
      <c r="D2" s="26" t="n">
        <v>0.1</v>
      </c>
      <c r="E2" s="27" t="str">
        <f aca="false">IF($B2="","",IFERROR(INDEX(Products!$B$2:$B$201,MATCH($B2,Products!$A$2:$A$201,0)),"Unknown code"))</f>
        <v>Ground coffee 500 g</v>
      </c>
      <c r="F2" s="22" t="str">
        <f aca="false">IF($B2="","",IFERROR(INDEX(Products!$C$2:$C$201,MATCH($B2,Products!$A$2:$A$201,0)),""))</f>
        <v>Coffee</v>
      </c>
      <c r="G2" s="17" t="n">
        <f aca="false">IF($B2="","",IFERROR(INDEX(Products!$D$2:$D$201,MATCH($B2,Products!$A$2:$A$201,0)),0))</f>
        <v>16</v>
      </c>
      <c r="H2" s="17" t="n">
        <f aca="false">IF($B2="","",C2*G2*(1-D2))</f>
        <v>14.4</v>
      </c>
      <c r="I2" s="17" t="n">
        <f aca="false">IF($B2="","",C2*IFERROR(INDEX(Products!$E$2:$E$201,MATCH($B2,Products!$A$2:$A$201,0)),0))</f>
        <v>7.8</v>
      </c>
      <c r="J2" s="17" t="n">
        <f aca="false">IF($B2="","",H2-I2)</f>
        <v>6.6</v>
      </c>
      <c r="K2" s="16" t="n">
        <f aca="false">IF($A2="","",DATE(YEAR($A2),MONTH($A2),1))</f>
        <v>46023</v>
      </c>
    </row>
    <row r="3" customFormat="false" ht="15" hidden="false" customHeight="false" outlineLevel="0" collapsed="false">
      <c r="A3" s="25" t="n">
        <v>46033</v>
      </c>
      <c r="B3" s="19" t="s">
        <v>50</v>
      </c>
      <c r="C3" s="19" t="n">
        <v>1</v>
      </c>
      <c r="D3" s="26" t="n">
        <v>0.05</v>
      </c>
      <c r="E3" s="27" t="str">
        <f aca="false">IF($B3="","",IFERROR(INDEX(Products!$B$2:$B$201,MATCH($B3,Products!$A$2:$A$201,0)),"Unknown code"))</f>
        <v>Ceramic mug</v>
      </c>
      <c r="F3" s="22" t="str">
        <f aca="false">IF($B3="","",IFERROR(INDEX(Products!$C$2:$C$201,MATCH($B3,Products!$A$2:$A$201,0)),""))</f>
        <v>Accessories</v>
      </c>
      <c r="G3" s="17" t="n">
        <f aca="false">IF($B3="","",IFERROR(INDEX(Products!$D$2:$D$201,MATCH($B3,Products!$A$2:$A$201,0)),0))</f>
        <v>10</v>
      </c>
      <c r="H3" s="17" t="n">
        <f aca="false">IF($B3="","",C3*G3*(1-D3))</f>
        <v>9.5</v>
      </c>
      <c r="I3" s="17" t="n">
        <f aca="false">IF($B3="","",C3*IFERROR(INDEX(Products!$E$2:$E$201,MATCH($B3,Products!$A$2:$A$201,0)),0))</f>
        <v>4</v>
      </c>
      <c r="J3" s="17" t="n">
        <f aca="false">IF($B3="","",H3-I3)</f>
        <v>5.5</v>
      </c>
      <c r="K3" s="16" t="n">
        <f aca="false">IF($A3="","",DATE(YEAR($A3),MONTH($A3),1))</f>
        <v>46023</v>
      </c>
    </row>
    <row r="4" customFormat="false" ht="15" hidden="false" customHeight="false" outlineLevel="0" collapsed="false">
      <c r="A4" s="25" t="n">
        <v>46035</v>
      </c>
      <c r="B4" s="19" t="s">
        <v>42</v>
      </c>
      <c r="C4" s="19" t="n">
        <v>2</v>
      </c>
      <c r="D4" s="26" t="n">
        <v>0</v>
      </c>
      <c r="E4" s="27" t="str">
        <f aca="false">IF($B4="","",IFERROR(INDEX(Products!$B$2:$B$201,MATCH($B4,Products!$A$2:$A$201,0)),"Unknown code"))</f>
        <v>Ground coffee 500 g</v>
      </c>
      <c r="F4" s="22" t="str">
        <f aca="false">IF($B4="","",IFERROR(INDEX(Products!$C$2:$C$201,MATCH($B4,Products!$A$2:$A$201,0)),""))</f>
        <v>Coffee</v>
      </c>
      <c r="G4" s="17" t="n">
        <f aca="false">IF($B4="","",IFERROR(INDEX(Products!$D$2:$D$201,MATCH($B4,Products!$A$2:$A$201,0)),0))</f>
        <v>16</v>
      </c>
      <c r="H4" s="17" t="n">
        <f aca="false">IF($B4="","",C4*G4*(1-D4))</f>
        <v>32</v>
      </c>
      <c r="I4" s="17" t="n">
        <f aca="false">IF($B4="","",C4*IFERROR(INDEX(Products!$E$2:$E$201,MATCH($B4,Products!$A$2:$A$201,0)),0))</f>
        <v>15.6</v>
      </c>
      <c r="J4" s="17" t="n">
        <f aca="false">IF($B4="","",H4-I4)</f>
        <v>16.4</v>
      </c>
      <c r="K4" s="16" t="n">
        <f aca="false">IF($A4="","",DATE(YEAR($A4),MONTH($A4),1))</f>
        <v>46023</v>
      </c>
    </row>
    <row r="5" customFormat="false" ht="15" hidden="false" customHeight="false" outlineLevel="0" collapsed="false">
      <c r="A5" s="25" t="n">
        <v>46035</v>
      </c>
      <c r="B5" s="19" t="s">
        <v>58</v>
      </c>
      <c r="C5" s="19" t="n">
        <v>1</v>
      </c>
      <c r="D5" s="26" t="n">
        <v>0</v>
      </c>
      <c r="E5" s="27" t="str">
        <f aca="false">IF($B5="","",IFERROR(INDEX(Products!$B$2:$B$201,MATCH($B5,Products!$A$2:$A$201,0)),"Unknown code"))</f>
        <v>Oat cookies (6 pcs)</v>
      </c>
      <c r="F5" s="22" t="str">
        <f aca="false">IF($B5="","",IFERROR(INDEX(Products!$C$2:$C$201,MATCH($B5,Products!$A$2:$A$201,0)),""))</f>
        <v>Snacks</v>
      </c>
      <c r="G5" s="17" t="n">
        <f aca="false">IF($B5="","",IFERROR(INDEX(Products!$D$2:$D$201,MATCH($B5,Products!$A$2:$A$201,0)),0))</f>
        <v>3.8</v>
      </c>
      <c r="H5" s="17" t="n">
        <f aca="false">IF($B5="","",C5*G5*(1-D5))</f>
        <v>3.8</v>
      </c>
      <c r="I5" s="17" t="n">
        <f aca="false">IF($B5="","",C5*IFERROR(INDEX(Products!$E$2:$E$201,MATCH($B5,Products!$A$2:$A$201,0)),0))</f>
        <v>1.4</v>
      </c>
      <c r="J5" s="17" t="n">
        <f aca="false">IF($B5="","",H5-I5)</f>
        <v>2.4</v>
      </c>
      <c r="K5" s="16" t="n">
        <f aca="false">IF($A5="","",DATE(YEAR($A5),MONTH($A5),1))</f>
        <v>46023</v>
      </c>
    </row>
    <row r="6" customFormat="false" ht="15" hidden="false" customHeight="false" outlineLevel="0" collapsed="false">
      <c r="A6" s="25" t="n">
        <v>46038</v>
      </c>
      <c r="B6" s="19" t="s">
        <v>44</v>
      </c>
      <c r="C6" s="19" t="n">
        <v>1</v>
      </c>
      <c r="D6" s="26" t="n">
        <v>0</v>
      </c>
      <c r="E6" s="27" t="str">
        <f aca="false">IF($B6="","",IFERROR(INDEX(Products!$B$2:$B$201,MATCH($B6,Products!$A$2:$A$201,0)),"Unknown code"))</f>
        <v>Specialty coffee 250 g</v>
      </c>
      <c r="F6" s="22" t="str">
        <f aca="false">IF($B6="","",IFERROR(INDEX(Products!$C$2:$C$201,MATCH($B6,Products!$A$2:$A$201,0)),""))</f>
        <v>Coffee</v>
      </c>
      <c r="G6" s="17" t="n">
        <f aca="false">IF($B6="","",IFERROR(INDEX(Products!$D$2:$D$201,MATCH($B6,Products!$A$2:$A$201,0)),0))</f>
        <v>14</v>
      </c>
      <c r="H6" s="17" t="n">
        <f aca="false">IF($B6="","",C6*G6*(1-D6))</f>
        <v>14</v>
      </c>
      <c r="I6" s="17" t="n">
        <f aca="false">IF($B6="","",C6*IFERROR(INDEX(Products!$E$2:$E$201,MATCH($B6,Products!$A$2:$A$201,0)),0))</f>
        <v>6.9</v>
      </c>
      <c r="J6" s="17" t="n">
        <f aca="false">IF($B6="","",H6-I6)</f>
        <v>7.1</v>
      </c>
      <c r="K6" s="16" t="n">
        <f aca="false">IF($A6="","",DATE(YEAR($A6),MONTH($A6),1))</f>
        <v>46023</v>
      </c>
    </row>
    <row r="7" customFormat="false" ht="15" hidden="false" customHeight="false" outlineLevel="0" collapsed="false">
      <c r="A7" s="25" t="n">
        <v>46044</v>
      </c>
      <c r="B7" s="19" t="s">
        <v>54</v>
      </c>
      <c r="C7" s="19" t="n">
        <v>1</v>
      </c>
      <c r="D7" s="26" t="n">
        <v>0.1</v>
      </c>
      <c r="E7" s="27" t="str">
        <f aca="false">IF($B7="","",IFERROR(INDEX(Products!$B$2:$B$201,MATCH($B7,Products!$A$2:$A$201,0)),"Unknown code"))</f>
        <v>Paper filters (100 pcs)</v>
      </c>
      <c r="F7" s="22" t="str">
        <f aca="false">IF($B7="","",IFERROR(INDEX(Products!$C$2:$C$201,MATCH($B7,Products!$A$2:$A$201,0)),""))</f>
        <v>Accessories</v>
      </c>
      <c r="G7" s="17" t="n">
        <f aca="false">IF($B7="","",IFERROR(INDEX(Products!$D$2:$D$201,MATCH($B7,Products!$A$2:$A$201,0)),0))</f>
        <v>4.5</v>
      </c>
      <c r="H7" s="17" t="n">
        <f aca="false">IF($B7="","",C7*G7*(1-D7))</f>
        <v>4.05</v>
      </c>
      <c r="I7" s="17" t="n">
        <f aca="false">IF($B7="","",C7*IFERROR(INDEX(Products!$E$2:$E$201,MATCH($B7,Products!$A$2:$A$201,0)),0))</f>
        <v>1.7</v>
      </c>
      <c r="J7" s="17" t="n">
        <f aca="false">IF($B7="","",H7-I7)</f>
        <v>2.35</v>
      </c>
      <c r="K7" s="16" t="n">
        <f aca="false">IF($A7="","",DATE(YEAR($A7),MONTH($A7),1))</f>
        <v>46023</v>
      </c>
    </row>
    <row r="8" customFormat="false" ht="15" hidden="false" customHeight="false" outlineLevel="0" collapsed="false">
      <c r="A8" s="25" t="n">
        <v>46052</v>
      </c>
      <c r="B8" s="19" t="s">
        <v>54</v>
      </c>
      <c r="C8" s="19" t="n">
        <v>3</v>
      </c>
      <c r="D8" s="26" t="n">
        <v>0</v>
      </c>
      <c r="E8" s="27" t="str">
        <f aca="false">IF($B8="","",IFERROR(INDEX(Products!$B$2:$B$201,MATCH($B8,Products!$A$2:$A$201,0)),"Unknown code"))</f>
        <v>Paper filters (100 pcs)</v>
      </c>
      <c r="F8" s="22" t="str">
        <f aca="false">IF($B8="","",IFERROR(INDEX(Products!$C$2:$C$201,MATCH($B8,Products!$A$2:$A$201,0)),""))</f>
        <v>Accessories</v>
      </c>
      <c r="G8" s="17" t="n">
        <f aca="false">IF($B8="","",IFERROR(INDEX(Products!$D$2:$D$201,MATCH($B8,Products!$A$2:$A$201,0)),0))</f>
        <v>4.5</v>
      </c>
      <c r="H8" s="17" t="n">
        <f aca="false">IF($B8="","",C8*G8*(1-D8))</f>
        <v>13.5</v>
      </c>
      <c r="I8" s="17" t="n">
        <f aca="false">IF($B8="","",C8*IFERROR(INDEX(Products!$E$2:$E$201,MATCH($B8,Products!$A$2:$A$201,0)),0))</f>
        <v>5.1</v>
      </c>
      <c r="J8" s="17" t="n">
        <f aca="false">IF($B8="","",H8-I8)</f>
        <v>8.4</v>
      </c>
      <c r="K8" s="16" t="n">
        <f aca="false">IF($A8="","",DATE(YEAR($A8),MONTH($A8),1))</f>
        <v>46023</v>
      </c>
    </row>
    <row r="9" customFormat="false" ht="15" hidden="false" customHeight="false" outlineLevel="0" collapsed="false">
      <c r="A9" s="25" t="n">
        <v>46053</v>
      </c>
      <c r="B9" s="19" t="s">
        <v>58</v>
      </c>
      <c r="C9" s="19" t="n">
        <v>1</v>
      </c>
      <c r="D9" s="26" t="n">
        <v>0</v>
      </c>
      <c r="E9" s="27" t="str">
        <f aca="false">IF($B9="","",IFERROR(INDEX(Products!$B$2:$B$201,MATCH($B9,Products!$A$2:$A$201,0)),"Unknown code"))</f>
        <v>Oat cookies (6 pcs)</v>
      </c>
      <c r="F9" s="22" t="str">
        <f aca="false">IF($B9="","",IFERROR(INDEX(Products!$C$2:$C$201,MATCH($B9,Products!$A$2:$A$201,0)),""))</f>
        <v>Snacks</v>
      </c>
      <c r="G9" s="17" t="n">
        <f aca="false">IF($B9="","",IFERROR(INDEX(Products!$D$2:$D$201,MATCH($B9,Products!$A$2:$A$201,0)),0))</f>
        <v>3.8</v>
      </c>
      <c r="H9" s="17" t="n">
        <f aca="false">IF($B9="","",C9*G9*(1-D9))</f>
        <v>3.8</v>
      </c>
      <c r="I9" s="17" t="n">
        <f aca="false">IF($B9="","",C9*IFERROR(INDEX(Products!$E$2:$E$201,MATCH($B9,Products!$A$2:$A$201,0)),0))</f>
        <v>1.4</v>
      </c>
      <c r="J9" s="17" t="n">
        <f aca="false">IF($B9="","",H9-I9)</f>
        <v>2.4</v>
      </c>
      <c r="K9" s="16" t="n">
        <f aca="false">IF($A9="","",DATE(YEAR($A9),MONTH($A9),1))</f>
        <v>46023</v>
      </c>
    </row>
    <row r="10" customFormat="false" ht="15" hidden="false" customHeight="false" outlineLevel="0" collapsed="false">
      <c r="A10" s="25" t="n">
        <v>46054</v>
      </c>
      <c r="B10" s="19" t="s">
        <v>44</v>
      </c>
      <c r="C10" s="19" t="n">
        <v>3</v>
      </c>
      <c r="D10" s="26" t="n">
        <v>0</v>
      </c>
      <c r="E10" s="27" t="str">
        <f aca="false">IF($B10="","",IFERROR(INDEX(Products!$B$2:$B$201,MATCH($B10,Products!$A$2:$A$201,0)),"Unknown code"))</f>
        <v>Specialty coffee 250 g</v>
      </c>
      <c r="F10" s="22" t="str">
        <f aca="false">IF($B10="","",IFERROR(INDEX(Products!$C$2:$C$201,MATCH($B10,Products!$A$2:$A$201,0)),""))</f>
        <v>Coffee</v>
      </c>
      <c r="G10" s="17" t="n">
        <f aca="false">IF($B10="","",IFERROR(INDEX(Products!$D$2:$D$201,MATCH($B10,Products!$A$2:$A$201,0)),0))</f>
        <v>14</v>
      </c>
      <c r="H10" s="17" t="n">
        <f aca="false">IF($B10="","",C10*G10*(1-D10))</f>
        <v>42</v>
      </c>
      <c r="I10" s="17" t="n">
        <f aca="false">IF($B10="","",C10*IFERROR(INDEX(Products!$E$2:$E$201,MATCH($B10,Products!$A$2:$A$201,0)),0))</f>
        <v>20.7</v>
      </c>
      <c r="J10" s="17" t="n">
        <f aca="false">IF($B10="","",H10-I10)</f>
        <v>21.3</v>
      </c>
      <c r="K10" s="16" t="n">
        <f aca="false">IF($A10="","",DATE(YEAR($A10),MONTH($A10),1))</f>
        <v>46054</v>
      </c>
    </row>
    <row r="11" customFormat="false" ht="15" hidden="false" customHeight="false" outlineLevel="0" collapsed="false">
      <c r="A11" s="25" t="n">
        <v>46054</v>
      </c>
      <c r="B11" s="19" t="s">
        <v>42</v>
      </c>
      <c r="C11" s="19" t="n">
        <v>1</v>
      </c>
      <c r="D11" s="26" t="n">
        <v>0</v>
      </c>
      <c r="E11" s="27" t="str">
        <f aca="false">IF($B11="","",IFERROR(INDEX(Products!$B$2:$B$201,MATCH($B11,Products!$A$2:$A$201,0)),"Unknown code"))</f>
        <v>Ground coffee 500 g</v>
      </c>
      <c r="F11" s="22" t="str">
        <f aca="false">IF($B11="","",IFERROR(INDEX(Products!$C$2:$C$201,MATCH($B11,Products!$A$2:$A$201,0)),""))</f>
        <v>Coffee</v>
      </c>
      <c r="G11" s="17" t="n">
        <f aca="false">IF($B11="","",IFERROR(INDEX(Products!$D$2:$D$201,MATCH($B11,Products!$A$2:$A$201,0)),0))</f>
        <v>16</v>
      </c>
      <c r="H11" s="17" t="n">
        <f aca="false">IF($B11="","",C11*G11*(1-D11))</f>
        <v>16</v>
      </c>
      <c r="I11" s="17" t="n">
        <f aca="false">IF($B11="","",C11*IFERROR(INDEX(Products!$E$2:$E$201,MATCH($B11,Products!$A$2:$A$201,0)),0))</f>
        <v>7.8</v>
      </c>
      <c r="J11" s="17" t="n">
        <f aca="false">IF($B11="","",H11-I11)</f>
        <v>8.2</v>
      </c>
      <c r="K11" s="16" t="n">
        <f aca="false">IF($A11="","",DATE(YEAR($A11),MONTH($A11),1))</f>
        <v>46054</v>
      </c>
    </row>
    <row r="12" customFormat="false" ht="15" hidden="false" customHeight="false" outlineLevel="0" collapsed="false">
      <c r="A12" s="25" t="n">
        <v>46058</v>
      </c>
      <c r="B12" s="19" t="s">
        <v>42</v>
      </c>
      <c r="C12" s="19" t="n">
        <v>2</v>
      </c>
      <c r="D12" s="26" t="n">
        <v>0</v>
      </c>
      <c r="E12" s="27" t="str">
        <f aca="false">IF($B12="","",IFERROR(INDEX(Products!$B$2:$B$201,MATCH($B12,Products!$A$2:$A$201,0)),"Unknown code"))</f>
        <v>Ground coffee 500 g</v>
      </c>
      <c r="F12" s="22" t="str">
        <f aca="false">IF($B12="","",IFERROR(INDEX(Products!$C$2:$C$201,MATCH($B12,Products!$A$2:$A$201,0)),""))</f>
        <v>Coffee</v>
      </c>
      <c r="G12" s="17" t="n">
        <f aca="false">IF($B12="","",IFERROR(INDEX(Products!$D$2:$D$201,MATCH($B12,Products!$A$2:$A$201,0)),0))</f>
        <v>16</v>
      </c>
      <c r="H12" s="17" t="n">
        <f aca="false">IF($B12="","",C12*G12*(1-D12))</f>
        <v>32</v>
      </c>
      <c r="I12" s="17" t="n">
        <f aca="false">IF($B12="","",C12*IFERROR(INDEX(Products!$E$2:$E$201,MATCH($B12,Products!$A$2:$A$201,0)),0))</f>
        <v>15.6</v>
      </c>
      <c r="J12" s="17" t="n">
        <f aca="false">IF($B12="","",H12-I12)</f>
        <v>16.4</v>
      </c>
      <c r="K12" s="16" t="n">
        <f aca="false">IF($A12="","",DATE(YEAR($A12),MONTH($A12),1))</f>
        <v>46054</v>
      </c>
    </row>
    <row r="13" customFormat="false" ht="15" hidden="false" customHeight="false" outlineLevel="0" collapsed="false">
      <c r="A13" s="25" t="n">
        <v>46060</v>
      </c>
      <c r="B13" s="19" t="s">
        <v>60</v>
      </c>
      <c r="C13" s="19" t="n">
        <v>1</v>
      </c>
      <c r="D13" s="26" t="n">
        <v>0</v>
      </c>
      <c r="E13" s="27" t="str">
        <f aca="false">IF($B13="","",IFERROR(INDEX(Products!$B$2:$B$201,MATCH($B13,Products!$A$2:$A$201,0)),"Unknown code"))</f>
        <v>Dark chocolate bar 70%</v>
      </c>
      <c r="F13" s="22" t="str">
        <f aca="false">IF($B13="","",IFERROR(INDEX(Products!$C$2:$C$201,MATCH($B13,Products!$A$2:$A$201,0)),""))</f>
        <v>Snacks</v>
      </c>
      <c r="G13" s="17" t="n">
        <f aca="false">IF($B13="","",IFERROR(INDEX(Products!$D$2:$D$201,MATCH($B13,Products!$A$2:$A$201,0)),0))</f>
        <v>3.2</v>
      </c>
      <c r="H13" s="17" t="n">
        <f aca="false">IF($B13="","",C13*G13*(1-D13))</f>
        <v>3.2</v>
      </c>
      <c r="I13" s="17" t="n">
        <f aca="false">IF($B13="","",C13*IFERROR(INDEX(Products!$E$2:$E$201,MATCH($B13,Products!$A$2:$A$201,0)),0))</f>
        <v>1.3</v>
      </c>
      <c r="J13" s="17" t="n">
        <f aca="false">IF($B13="","",H13-I13)</f>
        <v>1.9</v>
      </c>
      <c r="K13" s="16" t="n">
        <f aca="false">IF($A13="","",DATE(YEAR($A13),MONTH($A13),1))</f>
        <v>46054</v>
      </c>
    </row>
    <row r="14" customFormat="false" ht="15" hidden="false" customHeight="false" outlineLevel="0" collapsed="false">
      <c r="A14" s="25" t="n">
        <v>46061</v>
      </c>
      <c r="B14" s="19" t="s">
        <v>46</v>
      </c>
      <c r="C14" s="19" t="n">
        <v>1</v>
      </c>
      <c r="D14" s="26" t="n">
        <v>0</v>
      </c>
      <c r="E14" s="27" t="str">
        <f aca="false">IF($B14="","",IFERROR(INDEX(Products!$B$2:$B$201,MATCH($B14,Products!$A$2:$A$201,0)),"Unknown code"))</f>
        <v>Green tea 50 g</v>
      </c>
      <c r="F14" s="22" t="str">
        <f aca="false">IF($B14="","",IFERROR(INDEX(Products!$C$2:$C$201,MATCH($B14,Products!$A$2:$A$201,0)),""))</f>
        <v>Tea</v>
      </c>
      <c r="G14" s="17" t="n">
        <f aca="false">IF($B14="","",IFERROR(INDEX(Products!$D$2:$D$201,MATCH($B14,Products!$A$2:$A$201,0)),0))</f>
        <v>5.5</v>
      </c>
      <c r="H14" s="17" t="n">
        <f aca="false">IF($B14="","",C14*G14*(1-D14))</f>
        <v>5.5</v>
      </c>
      <c r="I14" s="17" t="n">
        <f aca="false">IF($B14="","",C14*IFERROR(INDEX(Products!$E$2:$E$201,MATCH($B14,Products!$A$2:$A$201,0)),0))</f>
        <v>2.2</v>
      </c>
      <c r="J14" s="17" t="n">
        <f aca="false">IF($B14="","",H14-I14)</f>
        <v>3.3</v>
      </c>
      <c r="K14" s="16" t="n">
        <f aca="false">IF($A14="","",DATE(YEAR($A14),MONTH($A14),1))</f>
        <v>46054</v>
      </c>
    </row>
    <row r="15" customFormat="false" ht="15" hidden="false" customHeight="false" outlineLevel="0" collapsed="false">
      <c r="A15" s="25" t="n">
        <v>46063</v>
      </c>
      <c r="B15" s="19" t="s">
        <v>54</v>
      </c>
      <c r="C15" s="19" t="n">
        <v>2</v>
      </c>
      <c r="D15" s="26" t="n">
        <v>0.1</v>
      </c>
      <c r="E15" s="27" t="str">
        <f aca="false">IF($B15="","",IFERROR(INDEX(Products!$B$2:$B$201,MATCH($B15,Products!$A$2:$A$201,0)),"Unknown code"))</f>
        <v>Paper filters (100 pcs)</v>
      </c>
      <c r="F15" s="22" t="str">
        <f aca="false">IF($B15="","",IFERROR(INDEX(Products!$C$2:$C$201,MATCH($B15,Products!$A$2:$A$201,0)),""))</f>
        <v>Accessories</v>
      </c>
      <c r="G15" s="17" t="n">
        <f aca="false">IF($B15="","",IFERROR(INDEX(Products!$D$2:$D$201,MATCH($B15,Products!$A$2:$A$201,0)),0))</f>
        <v>4.5</v>
      </c>
      <c r="H15" s="17" t="n">
        <f aca="false">IF($B15="","",C15*G15*(1-D15))</f>
        <v>8.1</v>
      </c>
      <c r="I15" s="17" t="n">
        <f aca="false">IF($B15="","",C15*IFERROR(INDEX(Products!$E$2:$E$201,MATCH($B15,Products!$A$2:$A$201,0)),0))</f>
        <v>3.4</v>
      </c>
      <c r="J15" s="17" t="n">
        <f aca="false">IF($B15="","",H15-I15)</f>
        <v>4.7</v>
      </c>
      <c r="K15" s="16" t="n">
        <f aca="false">IF($A15="","",DATE(YEAR($A15),MONTH($A15),1))</f>
        <v>46054</v>
      </c>
    </row>
    <row r="16" customFormat="false" ht="15" hidden="false" customHeight="false" outlineLevel="0" collapsed="false">
      <c r="A16" s="25" t="n">
        <v>46066</v>
      </c>
      <c r="B16" s="19" t="s">
        <v>44</v>
      </c>
      <c r="C16" s="19" t="n">
        <v>1</v>
      </c>
      <c r="D16" s="26" t="n">
        <v>0.1</v>
      </c>
      <c r="E16" s="27" t="str">
        <f aca="false">IF($B16="","",IFERROR(INDEX(Products!$B$2:$B$201,MATCH($B16,Products!$A$2:$A$201,0)),"Unknown code"))</f>
        <v>Specialty coffee 250 g</v>
      </c>
      <c r="F16" s="22" t="str">
        <f aca="false">IF($B16="","",IFERROR(INDEX(Products!$C$2:$C$201,MATCH($B16,Products!$A$2:$A$201,0)),""))</f>
        <v>Coffee</v>
      </c>
      <c r="G16" s="17" t="n">
        <f aca="false">IF($B16="","",IFERROR(INDEX(Products!$D$2:$D$201,MATCH($B16,Products!$A$2:$A$201,0)),0))</f>
        <v>14</v>
      </c>
      <c r="H16" s="17" t="n">
        <f aca="false">IF($B16="","",C16*G16*(1-D16))</f>
        <v>12.6</v>
      </c>
      <c r="I16" s="17" t="n">
        <f aca="false">IF($B16="","",C16*IFERROR(INDEX(Products!$E$2:$E$201,MATCH($B16,Products!$A$2:$A$201,0)),0))</f>
        <v>6.9</v>
      </c>
      <c r="J16" s="17" t="n">
        <f aca="false">IF($B16="","",H16-I16)</f>
        <v>5.7</v>
      </c>
      <c r="K16" s="16" t="n">
        <f aca="false">IF($A16="","",DATE(YEAR($A16),MONTH($A16),1))</f>
        <v>46054</v>
      </c>
    </row>
    <row r="17" customFormat="false" ht="15" hidden="false" customHeight="false" outlineLevel="0" collapsed="false">
      <c r="A17" s="25" t="n">
        <v>46068</v>
      </c>
      <c r="B17" s="19" t="s">
        <v>60</v>
      </c>
      <c r="C17" s="19" t="n">
        <v>2</v>
      </c>
      <c r="D17" s="26" t="n">
        <v>0</v>
      </c>
      <c r="E17" s="27" t="str">
        <f aca="false">IF($B17="","",IFERROR(INDEX(Products!$B$2:$B$201,MATCH($B17,Products!$A$2:$A$201,0)),"Unknown code"))</f>
        <v>Dark chocolate bar 70%</v>
      </c>
      <c r="F17" s="22" t="str">
        <f aca="false">IF($B17="","",IFERROR(INDEX(Products!$C$2:$C$201,MATCH($B17,Products!$A$2:$A$201,0)),""))</f>
        <v>Snacks</v>
      </c>
      <c r="G17" s="17" t="n">
        <f aca="false">IF($B17="","",IFERROR(INDEX(Products!$D$2:$D$201,MATCH($B17,Products!$A$2:$A$201,0)),0))</f>
        <v>3.2</v>
      </c>
      <c r="H17" s="17" t="n">
        <f aca="false">IF($B17="","",C17*G17*(1-D17))</f>
        <v>6.4</v>
      </c>
      <c r="I17" s="17" t="n">
        <f aca="false">IF($B17="","",C17*IFERROR(INDEX(Products!$E$2:$E$201,MATCH($B17,Products!$A$2:$A$201,0)),0))</f>
        <v>2.6</v>
      </c>
      <c r="J17" s="17" t="n">
        <f aca="false">IF($B17="","",H17-I17)</f>
        <v>3.8</v>
      </c>
      <c r="K17" s="16" t="n">
        <f aca="false">IF($A17="","",DATE(YEAR($A17),MONTH($A17),1))</f>
        <v>46054</v>
      </c>
    </row>
    <row r="18" customFormat="false" ht="15" hidden="false" customHeight="false" outlineLevel="0" collapsed="false">
      <c r="A18" s="25" t="n">
        <v>46068</v>
      </c>
      <c r="B18" s="19" t="s">
        <v>42</v>
      </c>
      <c r="C18" s="19" t="n">
        <v>1</v>
      </c>
      <c r="D18" s="26" t="n">
        <v>0.05</v>
      </c>
      <c r="E18" s="27" t="str">
        <f aca="false">IF($B18="","",IFERROR(INDEX(Products!$B$2:$B$201,MATCH($B18,Products!$A$2:$A$201,0)),"Unknown code"))</f>
        <v>Ground coffee 500 g</v>
      </c>
      <c r="F18" s="22" t="str">
        <f aca="false">IF($B18="","",IFERROR(INDEX(Products!$C$2:$C$201,MATCH($B18,Products!$A$2:$A$201,0)),""))</f>
        <v>Coffee</v>
      </c>
      <c r="G18" s="17" t="n">
        <f aca="false">IF($B18="","",IFERROR(INDEX(Products!$D$2:$D$201,MATCH($B18,Products!$A$2:$A$201,0)),0))</f>
        <v>16</v>
      </c>
      <c r="H18" s="17" t="n">
        <f aca="false">IF($B18="","",C18*G18*(1-D18))</f>
        <v>15.2</v>
      </c>
      <c r="I18" s="17" t="n">
        <f aca="false">IF($B18="","",C18*IFERROR(INDEX(Products!$E$2:$E$201,MATCH($B18,Products!$A$2:$A$201,0)),0))</f>
        <v>7.8</v>
      </c>
      <c r="J18" s="17" t="n">
        <f aca="false">IF($B18="","",H18-I18)</f>
        <v>7.4</v>
      </c>
      <c r="K18" s="16" t="n">
        <f aca="false">IF($A18="","",DATE(YEAR($A18),MONTH($A18),1))</f>
        <v>46054</v>
      </c>
    </row>
    <row r="19" customFormat="false" ht="15" hidden="false" customHeight="false" outlineLevel="0" collapsed="false">
      <c r="A19" s="25" t="n">
        <v>46074</v>
      </c>
      <c r="B19" s="19" t="s">
        <v>58</v>
      </c>
      <c r="C19" s="19" t="n">
        <v>2</v>
      </c>
      <c r="D19" s="26" t="n">
        <v>0.05</v>
      </c>
      <c r="E19" s="27" t="str">
        <f aca="false">IF($B19="","",IFERROR(INDEX(Products!$B$2:$B$201,MATCH($B19,Products!$A$2:$A$201,0)),"Unknown code"))</f>
        <v>Oat cookies (6 pcs)</v>
      </c>
      <c r="F19" s="22" t="str">
        <f aca="false">IF($B19="","",IFERROR(INDEX(Products!$C$2:$C$201,MATCH($B19,Products!$A$2:$A$201,0)),""))</f>
        <v>Snacks</v>
      </c>
      <c r="G19" s="17" t="n">
        <f aca="false">IF($B19="","",IFERROR(INDEX(Products!$D$2:$D$201,MATCH($B19,Products!$A$2:$A$201,0)),0))</f>
        <v>3.8</v>
      </c>
      <c r="H19" s="17" t="n">
        <f aca="false">IF($B19="","",C19*G19*(1-D19))</f>
        <v>7.22</v>
      </c>
      <c r="I19" s="17" t="n">
        <f aca="false">IF($B19="","",C19*IFERROR(INDEX(Products!$E$2:$E$201,MATCH($B19,Products!$A$2:$A$201,0)),0))</f>
        <v>2.8</v>
      </c>
      <c r="J19" s="17" t="n">
        <f aca="false">IF($B19="","",H19-I19)</f>
        <v>4.42</v>
      </c>
      <c r="K19" s="16" t="n">
        <f aca="false">IF($A19="","",DATE(YEAR($A19),MONTH($A19),1))</f>
        <v>46054</v>
      </c>
    </row>
    <row r="20" customFormat="false" ht="15" hidden="false" customHeight="false" outlineLevel="0" collapsed="false">
      <c r="A20" s="25" t="n">
        <v>46075</v>
      </c>
      <c r="B20" s="19" t="s">
        <v>46</v>
      </c>
      <c r="C20" s="19" t="n">
        <v>2</v>
      </c>
      <c r="D20" s="26" t="n">
        <v>0.05</v>
      </c>
      <c r="E20" s="27" t="str">
        <f aca="false">IF($B20="","",IFERROR(INDEX(Products!$B$2:$B$201,MATCH($B20,Products!$A$2:$A$201,0)),"Unknown code"))</f>
        <v>Green tea 50 g</v>
      </c>
      <c r="F20" s="22" t="str">
        <f aca="false">IF($B20="","",IFERROR(INDEX(Products!$C$2:$C$201,MATCH($B20,Products!$A$2:$A$201,0)),""))</f>
        <v>Tea</v>
      </c>
      <c r="G20" s="17" t="n">
        <f aca="false">IF($B20="","",IFERROR(INDEX(Products!$D$2:$D$201,MATCH($B20,Products!$A$2:$A$201,0)),0))</f>
        <v>5.5</v>
      </c>
      <c r="H20" s="17" t="n">
        <f aca="false">IF($B20="","",C20*G20*(1-D20))</f>
        <v>10.45</v>
      </c>
      <c r="I20" s="17" t="n">
        <f aca="false">IF($B20="","",C20*IFERROR(INDEX(Products!$E$2:$E$201,MATCH($B20,Products!$A$2:$A$201,0)),0))</f>
        <v>4.4</v>
      </c>
      <c r="J20" s="17" t="n">
        <f aca="false">IF($B20="","",H20-I20)</f>
        <v>6.05</v>
      </c>
      <c r="K20" s="16" t="n">
        <f aca="false">IF($A20="","",DATE(YEAR($A20),MONTH($A20),1))</f>
        <v>46054</v>
      </c>
    </row>
    <row r="21" customFormat="false" ht="15" hidden="false" customHeight="false" outlineLevel="0" collapsed="false">
      <c r="A21" s="25" t="n">
        <v>46075</v>
      </c>
      <c r="B21" s="19" t="s">
        <v>42</v>
      </c>
      <c r="C21" s="19" t="n">
        <v>2</v>
      </c>
      <c r="D21" s="26" t="n">
        <v>0</v>
      </c>
      <c r="E21" s="27" t="str">
        <f aca="false">IF($B21="","",IFERROR(INDEX(Products!$B$2:$B$201,MATCH($B21,Products!$A$2:$A$201,0)),"Unknown code"))</f>
        <v>Ground coffee 500 g</v>
      </c>
      <c r="F21" s="22" t="str">
        <f aca="false">IF($B21="","",IFERROR(INDEX(Products!$C$2:$C$201,MATCH($B21,Products!$A$2:$A$201,0)),""))</f>
        <v>Coffee</v>
      </c>
      <c r="G21" s="17" t="n">
        <f aca="false">IF($B21="","",IFERROR(INDEX(Products!$D$2:$D$201,MATCH($B21,Products!$A$2:$A$201,0)),0))</f>
        <v>16</v>
      </c>
      <c r="H21" s="17" t="n">
        <f aca="false">IF($B21="","",C21*G21*(1-D21))</f>
        <v>32</v>
      </c>
      <c r="I21" s="17" t="n">
        <f aca="false">IF($B21="","",C21*IFERROR(INDEX(Products!$E$2:$E$201,MATCH($B21,Products!$A$2:$A$201,0)),0))</f>
        <v>15.6</v>
      </c>
      <c r="J21" s="17" t="n">
        <f aca="false">IF($B21="","",H21-I21)</f>
        <v>16.4</v>
      </c>
      <c r="K21" s="16" t="n">
        <f aca="false">IF($A21="","",DATE(YEAR($A21),MONTH($A21),1))</f>
        <v>46054</v>
      </c>
    </row>
    <row r="22" customFormat="false" ht="15" hidden="false" customHeight="false" outlineLevel="0" collapsed="false">
      <c r="A22" s="25" t="n">
        <v>46076</v>
      </c>
      <c r="B22" s="19" t="s">
        <v>58</v>
      </c>
      <c r="C22" s="19" t="n">
        <v>1</v>
      </c>
      <c r="D22" s="26" t="n">
        <v>0</v>
      </c>
      <c r="E22" s="27" t="str">
        <f aca="false">IF($B22="","",IFERROR(INDEX(Products!$B$2:$B$201,MATCH($B22,Products!$A$2:$A$201,0)),"Unknown code"))</f>
        <v>Oat cookies (6 pcs)</v>
      </c>
      <c r="F22" s="22" t="str">
        <f aca="false">IF($B22="","",IFERROR(INDEX(Products!$C$2:$C$201,MATCH($B22,Products!$A$2:$A$201,0)),""))</f>
        <v>Snacks</v>
      </c>
      <c r="G22" s="17" t="n">
        <f aca="false">IF($B22="","",IFERROR(INDEX(Products!$D$2:$D$201,MATCH($B22,Products!$A$2:$A$201,0)),0))</f>
        <v>3.8</v>
      </c>
      <c r="H22" s="17" t="n">
        <f aca="false">IF($B22="","",C22*G22*(1-D22))</f>
        <v>3.8</v>
      </c>
      <c r="I22" s="17" t="n">
        <f aca="false">IF($B22="","",C22*IFERROR(INDEX(Products!$E$2:$E$201,MATCH($B22,Products!$A$2:$A$201,0)),0))</f>
        <v>1.4</v>
      </c>
      <c r="J22" s="17" t="n">
        <f aca="false">IF($B22="","",H22-I22)</f>
        <v>2.4</v>
      </c>
      <c r="K22" s="16" t="n">
        <f aca="false">IF($A22="","",DATE(YEAR($A22),MONTH($A22),1))</f>
        <v>46054</v>
      </c>
    </row>
    <row r="23" customFormat="false" ht="15" hidden="false" customHeight="false" outlineLevel="0" collapsed="false">
      <c r="A23" s="25" t="n">
        <v>46078</v>
      </c>
      <c r="B23" s="19" t="s">
        <v>42</v>
      </c>
      <c r="C23" s="19" t="n">
        <v>1</v>
      </c>
      <c r="D23" s="26" t="n">
        <v>0.1</v>
      </c>
      <c r="E23" s="27" t="str">
        <f aca="false">IF($B23="","",IFERROR(INDEX(Products!$B$2:$B$201,MATCH($B23,Products!$A$2:$A$201,0)),"Unknown code"))</f>
        <v>Ground coffee 500 g</v>
      </c>
      <c r="F23" s="22" t="str">
        <f aca="false">IF($B23="","",IFERROR(INDEX(Products!$C$2:$C$201,MATCH($B23,Products!$A$2:$A$201,0)),""))</f>
        <v>Coffee</v>
      </c>
      <c r="G23" s="17" t="n">
        <f aca="false">IF($B23="","",IFERROR(INDEX(Products!$D$2:$D$201,MATCH($B23,Products!$A$2:$A$201,0)),0))</f>
        <v>16</v>
      </c>
      <c r="H23" s="17" t="n">
        <f aca="false">IF($B23="","",C23*G23*(1-D23))</f>
        <v>14.4</v>
      </c>
      <c r="I23" s="17" t="n">
        <f aca="false">IF($B23="","",C23*IFERROR(INDEX(Products!$E$2:$E$201,MATCH($B23,Products!$A$2:$A$201,0)),0))</f>
        <v>7.8</v>
      </c>
      <c r="J23" s="17" t="n">
        <f aca="false">IF($B23="","",H23-I23)</f>
        <v>6.6</v>
      </c>
      <c r="K23" s="16" t="n">
        <f aca="false">IF($A23="","",DATE(YEAR($A23),MONTH($A23),1))</f>
        <v>46054</v>
      </c>
    </row>
    <row r="24" customFormat="false" ht="15" hidden="false" customHeight="false" outlineLevel="0" collapsed="false">
      <c r="A24" s="25" t="n">
        <v>46078</v>
      </c>
      <c r="B24" s="19" t="s">
        <v>60</v>
      </c>
      <c r="C24" s="19" t="n">
        <v>1</v>
      </c>
      <c r="D24" s="26" t="n">
        <v>0.05</v>
      </c>
      <c r="E24" s="27" t="str">
        <f aca="false">IF($B24="","",IFERROR(INDEX(Products!$B$2:$B$201,MATCH($B24,Products!$A$2:$A$201,0)),"Unknown code"))</f>
        <v>Dark chocolate bar 70%</v>
      </c>
      <c r="F24" s="22" t="str">
        <f aca="false">IF($B24="","",IFERROR(INDEX(Products!$C$2:$C$201,MATCH($B24,Products!$A$2:$A$201,0)),""))</f>
        <v>Snacks</v>
      </c>
      <c r="G24" s="17" t="n">
        <f aca="false">IF($B24="","",IFERROR(INDEX(Products!$D$2:$D$201,MATCH($B24,Products!$A$2:$A$201,0)),0))</f>
        <v>3.2</v>
      </c>
      <c r="H24" s="17" t="n">
        <f aca="false">IF($B24="","",C24*G24*(1-D24))</f>
        <v>3.04</v>
      </c>
      <c r="I24" s="17" t="n">
        <f aca="false">IF($B24="","",C24*IFERROR(INDEX(Products!$E$2:$E$201,MATCH($B24,Products!$A$2:$A$201,0)),0))</f>
        <v>1.3</v>
      </c>
      <c r="J24" s="17" t="n">
        <f aca="false">IF($B24="","",H24-I24)</f>
        <v>1.74</v>
      </c>
      <c r="K24" s="16" t="n">
        <f aca="false">IF($A24="","",DATE(YEAR($A24),MONTH($A24),1))</f>
        <v>46054</v>
      </c>
    </row>
    <row r="25" customFormat="false" ht="15" hidden="false" customHeight="false" outlineLevel="0" collapsed="false">
      <c r="A25" s="25" t="n">
        <v>46082</v>
      </c>
      <c r="B25" s="19" t="s">
        <v>42</v>
      </c>
      <c r="C25" s="19" t="n">
        <v>1</v>
      </c>
      <c r="D25" s="26" t="n">
        <v>0.05</v>
      </c>
      <c r="E25" s="27" t="str">
        <f aca="false">IF($B25="","",IFERROR(INDEX(Products!$B$2:$B$201,MATCH($B25,Products!$A$2:$A$201,0)),"Unknown code"))</f>
        <v>Ground coffee 500 g</v>
      </c>
      <c r="F25" s="22" t="str">
        <f aca="false">IF($B25="","",IFERROR(INDEX(Products!$C$2:$C$201,MATCH($B25,Products!$A$2:$A$201,0)),""))</f>
        <v>Coffee</v>
      </c>
      <c r="G25" s="17" t="n">
        <f aca="false">IF($B25="","",IFERROR(INDEX(Products!$D$2:$D$201,MATCH($B25,Products!$A$2:$A$201,0)),0))</f>
        <v>16</v>
      </c>
      <c r="H25" s="17" t="n">
        <f aca="false">IF($B25="","",C25*G25*(1-D25))</f>
        <v>15.2</v>
      </c>
      <c r="I25" s="17" t="n">
        <f aca="false">IF($B25="","",C25*IFERROR(INDEX(Products!$E$2:$E$201,MATCH($B25,Products!$A$2:$A$201,0)),0))</f>
        <v>7.8</v>
      </c>
      <c r="J25" s="17" t="n">
        <f aca="false">IF($B25="","",H25-I25)</f>
        <v>7.4</v>
      </c>
      <c r="K25" s="16" t="n">
        <f aca="false">IF($A25="","",DATE(YEAR($A25),MONTH($A25),1))</f>
        <v>46082</v>
      </c>
    </row>
    <row r="26" customFormat="false" ht="15" hidden="false" customHeight="false" outlineLevel="0" collapsed="false">
      <c r="A26" s="25" t="n">
        <v>46083</v>
      </c>
      <c r="B26" s="19" t="s">
        <v>50</v>
      </c>
      <c r="C26" s="19" t="n">
        <v>1</v>
      </c>
      <c r="D26" s="26" t="n">
        <v>0</v>
      </c>
      <c r="E26" s="27" t="str">
        <f aca="false">IF($B26="","",IFERROR(INDEX(Products!$B$2:$B$201,MATCH($B26,Products!$A$2:$A$201,0)),"Unknown code"))</f>
        <v>Ceramic mug</v>
      </c>
      <c r="F26" s="22" t="str">
        <f aca="false">IF($B26="","",IFERROR(INDEX(Products!$C$2:$C$201,MATCH($B26,Products!$A$2:$A$201,0)),""))</f>
        <v>Accessories</v>
      </c>
      <c r="G26" s="17" t="n">
        <f aca="false">IF($B26="","",IFERROR(INDEX(Products!$D$2:$D$201,MATCH($B26,Products!$A$2:$A$201,0)),0))</f>
        <v>10</v>
      </c>
      <c r="H26" s="17" t="n">
        <f aca="false">IF($B26="","",C26*G26*(1-D26))</f>
        <v>10</v>
      </c>
      <c r="I26" s="17" t="n">
        <f aca="false">IF($B26="","",C26*IFERROR(INDEX(Products!$E$2:$E$201,MATCH($B26,Products!$A$2:$A$201,0)),0))</f>
        <v>4</v>
      </c>
      <c r="J26" s="17" t="n">
        <f aca="false">IF($B26="","",H26-I26)</f>
        <v>6</v>
      </c>
      <c r="K26" s="16" t="n">
        <f aca="false">IF($A26="","",DATE(YEAR($A26),MONTH($A26),1))</f>
        <v>46082</v>
      </c>
    </row>
    <row r="27" customFormat="false" ht="15" hidden="false" customHeight="false" outlineLevel="0" collapsed="false">
      <c r="A27" s="25" t="n">
        <v>46085</v>
      </c>
      <c r="B27" s="19" t="s">
        <v>40</v>
      </c>
      <c r="C27" s="19" t="n">
        <v>2</v>
      </c>
      <c r="D27" s="26" t="n">
        <v>0</v>
      </c>
      <c r="E27" s="27" t="str">
        <f aca="false">IF($B27="","",IFERROR(INDEX(Products!$B$2:$B$201,MATCH($B27,Products!$A$2:$A$201,0)),"Unknown code"))</f>
        <v>Whole bean coffee 250 g</v>
      </c>
      <c r="F27" s="22" t="str">
        <f aca="false">IF($B27="","",IFERROR(INDEX(Products!$C$2:$C$201,MATCH($B27,Products!$A$2:$A$201,0)),""))</f>
        <v>Coffee</v>
      </c>
      <c r="G27" s="17" t="n">
        <f aca="false">IF($B27="","",IFERROR(INDEX(Products!$D$2:$D$201,MATCH($B27,Products!$A$2:$A$201,0)),0))</f>
        <v>9.5</v>
      </c>
      <c r="H27" s="17" t="n">
        <f aca="false">IF($B27="","",C27*G27*(1-D27))</f>
        <v>19</v>
      </c>
      <c r="I27" s="17" t="n">
        <f aca="false">IF($B27="","",C27*IFERROR(INDEX(Products!$E$2:$E$201,MATCH($B27,Products!$A$2:$A$201,0)),0))</f>
        <v>9</v>
      </c>
      <c r="J27" s="17" t="n">
        <f aca="false">IF($B27="","",H27-I27)</f>
        <v>10</v>
      </c>
      <c r="K27" s="16" t="n">
        <f aca="false">IF($A27="","",DATE(YEAR($A27),MONTH($A27),1))</f>
        <v>46082</v>
      </c>
    </row>
    <row r="28" customFormat="false" ht="15" hidden="false" customHeight="false" outlineLevel="0" collapsed="false">
      <c r="A28" s="25" t="n">
        <v>46086</v>
      </c>
      <c r="B28" s="19" t="s">
        <v>58</v>
      </c>
      <c r="C28" s="19" t="n">
        <v>2</v>
      </c>
      <c r="D28" s="26" t="n">
        <v>0</v>
      </c>
      <c r="E28" s="27" t="str">
        <f aca="false">IF($B28="","",IFERROR(INDEX(Products!$B$2:$B$201,MATCH($B28,Products!$A$2:$A$201,0)),"Unknown code"))</f>
        <v>Oat cookies (6 pcs)</v>
      </c>
      <c r="F28" s="22" t="str">
        <f aca="false">IF($B28="","",IFERROR(INDEX(Products!$C$2:$C$201,MATCH($B28,Products!$A$2:$A$201,0)),""))</f>
        <v>Snacks</v>
      </c>
      <c r="G28" s="17" t="n">
        <f aca="false">IF($B28="","",IFERROR(INDEX(Products!$D$2:$D$201,MATCH($B28,Products!$A$2:$A$201,0)),0))</f>
        <v>3.8</v>
      </c>
      <c r="H28" s="17" t="n">
        <f aca="false">IF($B28="","",C28*G28*(1-D28))</f>
        <v>7.6</v>
      </c>
      <c r="I28" s="17" t="n">
        <f aca="false">IF($B28="","",C28*IFERROR(INDEX(Products!$E$2:$E$201,MATCH($B28,Products!$A$2:$A$201,0)),0))</f>
        <v>2.8</v>
      </c>
      <c r="J28" s="17" t="n">
        <f aca="false">IF($B28="","",H28-I28)</f>
        <v>4.8</v>
      </c>
      <c r="K28" s="16" t="n">
        <f aca="false">IF($A28="","",DATE(YEAR($A28),MONTH($A28),1))</f>
        <v>46082</v>
      </c>
    </row>
    <row r="29" customFormat="false" ht="15" hidden="false" customHeight="false" outlineLevel="0" collapsed="false">
      <c r="A29" s="25" t="n">
        <v>46086</v>
      </c>
      <c r="B29" s="19" t="s">
        <v>40</v>
      </c>
      <c r="C29" s="19" t="n">
        <v>2</v>
      </c>
      <c r="D29" s="26" t="n">
        <v>0.05</v>
      </c>
      <c r="E29" s="27" t="str">
        <f aca="false">IF($B29="","",IFERROR(INDEX(Products!$B$2:$B$201,MATCH($B29,Products!$A$2:$A$201,0)),"Unknown code"))</f>
        <v>Whole bean coffee 250 g</v>
      </c>
      <c r="F29" s="22" t="str">
        <f aca="false">IF($B29="","",IFERROR(INDEX(Products!$C$2:$C$201,MATCH($B29,Products!$A$2:$A$201,0)),""))</f>
        <v>Coffee</v>
      </c>
      <c r="G29" s="17" t="n">
        <f aca="false">IF($B29="","",IFERROR(INDEX(Products!$D$2:$D$201,MATCH($B29,Products!$A$2:$A$201,0)),0))</f>
        <v>9.5</v>
      </c>
      <c r="H29" s="17" t="n">
        <f aca="false">IF($B29="","",C29*G29*(1-D29))</f>
        <v>18.05</v>
      </c>
      <c r="I29" s="17" t="n">
        <f aca="false">IF($B29="","",C29*IFERROR(INDEX(Products!$E$2:$E$201,MATCH($B29,Products!$A$2:$A$201,0)),0))</f>
        <v>9</v>
      </c>
      <c r="J29" s="17" t="n">
        <f aca="false">IF($B29="","",H29-I29)</f>
        <v>9.05</v>
      </c>
      <c r="K29" s="16" t="n">
        <f aca="false">IF($A29="","",DATE(YEAR($A29),MONTH($A29),1))</f>
        <v>46082</v>
      </c>
    </row>
    <row r="30" customFormat="false" ht="15" hidden="false" customHeight="false" outlineLevel="0" collapsed="false">
      <c r="A30" s="25" t="n">
        <v>46088</v>
      </c>
      <c r="B30" s="19" t="s">
        <v>50</v>
      </c>
      <c r="C30" s="19" t="n">
        <v>2</v>
      </c>
      <c r="D30" s="26" t="n">
        <v>0</v>
      </c>
      <c r="E30" s="27" t="str">
        <f aca="false">IF($B30="","",IFERROR(INDEX(Products!$B$2:$B$201,MATCH($B30,Products!$A$2:$A$201,0)),"Unknown code"))</f>
        <v>Ceramic mug</v>
      </c>
      <c r="F30" s="22" t="str">
        <f aca="false">IF($B30="","",IFERROR(INDEX(Products!$C$2:$C$201,MATCH($B30,Products!$A$2:$A$201,0)),""))</f>
        <v>Accessories</v>
      </c>
      <c r="G30" s="17" t="n">
        <f aca="false">IF($B30="","",IFERROR(INDEX(Products!$D$2:$D$201,MATCH($B30,Products!$A$2:$A$201,0)),0))</f>
        <v>10</v>
      </c>
      <c r="H30" s="17" t="n">
        <f aca="false">IF($B30="","",C30*G30*(1-D30))</f>
        <v>20</v>
      </c>
      <c r="I30" s="17" t="n">
        <f aca="false">IF($B30="","",C30*IFERROR(INDEX(Products!$E$2:$E$201,MATCH($B30,Products!$A$2:$A$201,0)),0))</f>
        <v>8</v>
      </c>
      <c r="J30" s="17" t="n">
        <f aca="false">IF($B30="","",H30-I30)</f>
        <v>12</v>
      </c>
      <c r="K30" s="16" t="n">
        <f aca="false">IF($A30="","",DATE(YEAR($A30),MONTH($A30),1))</f>
        <v>46082</v>
      </c>
    </row>
    <row r="31" customFormat="false" ht="15" hidden="false" customHeight="false" outlineLevel="0" collapsed="false">
      <c r="A31" s="25" t="n">
        <v>46090</v>
      </c>
      <c r="B31" s="19" t="s">
        <v>58</v>
      </c>
      <c r="C31" s="19" t="n">
        <v>2</v>
      </c>
      <c r="D31" s="26" t="n">
        <v>0.1</v>
      </c>
      <c r="E31" s="27" t="str">
        <f aca="false">IF($B31="","",IFERROR(INDEX(Products!$B$2:$B$201,MATCH($B31,Products!$A$2:$A$201,0)),"Unknown code"))</f>
        <v>Oat cookies (6 pcs)</v>
      </c>
      <c r="F31" s="22" t="str">
        <f aca="false">IF($B31="","",IFERROR(INDEX(Products!$C$2:$C$201,MATCH($B31,Products!$A$2:$A$201,0)),""))</f>
        <v>Snacks</v>
      </c>
      <c r="G31" s="17" t="n">
        <f aca="false">IF($B31="","",IFERROR(INDEX(Products!$D$2:$D$201,MATCH($B31,Products!$A$2:$A$201,0)),0))</f>
        <v>3.8</v>
      </c>
      <c r="H31" s="17" t="n">
        <f aca="false">IF($B31="","",C31*G31*(1-D31))</f>
        <v>6.84</v>
      </c>
      <c r="I31" s="17" t="n">
        <f aca="false">IF($B31="","",C31*IFERROR(INDEX(Products!$E$2:$E$201,MATCH($B31,Products!$A$2:$A$201,0)),0))</f>
        <v>2.8</v>
      </c>
      <c r="J31" s="17" t="n">
        <f aca="false">IF($B31="","",H31-I31)</f>
        <v>4.04</v>
      </c>
      <c r="K31" s="16" t="n">
        <f aca="false">IF($A31="","",DATE(YEAR($A31),MONTH($A31),1))</f>
        <v>46082</v>
      </c>
    </row>
    <row r="32" customFormat="false" ht="15" hidden="false" customHeight="false" outlineLevel="0" collapsed="false">
      <c r="A32" s="25" t="n">
        <v>46092</v>
      </c>
      <c r="B32" s="19" t="s">
        <v>60</v>
      </c>
      <c r="C32" s="19" t="n">
        <v>2</v>
      </c>
      <c r="D32" s="26" t="n">
        <v>0</v>
      </c>
      <c r="E32" s="27" t="str">
        <f aca="false">IF($B32="","",IFERROR(INDEX(Products!$B$2:$B$201,MATCH($B32,Products!$A$2:$A$201,0)),"Unknown code"))</f>
        <v>Dark chocolate bar 70%</v>
      </c>
      <c r="F32" s="22" t="str">
        <f aca="false">IF($B32="","",IFERROR(INDEX(Products!$C$2:$C$201,MATCH($B32,Products!$A$2:$A$201,0)),""))</f>
        <v>Snacks</v>
      </c>
      <c r="G32" s="17" t="n">
        <f aca="false">IF($B32="","",IFERROR(INDEX(Products!$D$2:$D$201,MATCH($B32,Products!$A$2:$A$201,0)),0))</f>
        <v>3.2</v>
      </c>
      <c r="H32" s="17" t="n">
        <f aca="false">IF($B32="","",C32*G32*(1-D32))</f>
        <v>6.4</v>
      </c>
      <c r="I32" s="17" t="n">
        <f aca="false">IF($B32="","",C32*IFERROR(INDEX(Products!$E$2:$E$201,MATCH($B32,Products!$A$2:$A$201,0)),0))</f>
        <v>2.6</v>
      </c>
      <c r="J32" s="17" t="n">
        <f aca="false">IF($B32="","",H32-I32)</f>
        <v>3.8</v>
      </c>
      <c r="K32" s="16" t="n">
        <f aca="false">IF($A32="","",DATE(YEAR($A32),MONTH($A32),1))</f>
        <v>46082</v>
      </c>
    </row>
    <row r="33" customFormat="false" ht="15" hidden="false" customHeight="false" outlineLevel="0" collapsed="false">
      <c r="A33" s="25" t="n">
        <v>46092</v>
      </c>
      <c r="B33" s="19" t="s">
        <v>42</v>
      </c>
      <c r="C33" s="19" t="n">
        <v>1</v>
      </c>
      <c r="D33" s="26" t="n">
        <v>0</v>
      </c>
      <c r="E33" s="27" t="str">
        <f aca="false">IF($B33="","",IFERROR(INDEX(Products!$B$2:$B$201,MATCH($B33,Products!$A$2:$A$201,0)),"Unknown code"))</f>
        <v>Ground coffee 500 g</v>
      </c>
      <c r="F33" s="22" t="str">
        <f aca="false">IF($B33="","",IFERROR(INDEX(Products!$C$2:$C$201,MATCH($B33,Products!$A$2:$A$201,0)),""))</f>
        <v>Coffee</v>
      </c>
      <c r="G33" s="17" t="n">
        <f aca="false">IF($B33="","",IFERROR(INDEX(Products!$D$2:$D$201,MATCH($B33,Products!$A$2:$A$201,0)),0))</f>
        <v>16</v>
      </c>
      <c r="H33" s="17" t="n">
        <f aca="false">IF($B33="","",C33*G33*(1-D33))</f>
        <v>16</v>
      </c>
      <c r="I33" s="17" t="n">
        <f aca="false">IF($B33="","",C33*IFERROR(INDEX(Products!$E$2:$E$201,MATCH($B33,Products!$A$2:$A$201,0)),0))</f>
        <v>7.8</v>
      </c>
      <c r="J33" s="17" t="n">
        <f aca="false">IF($B33="","",H33-I33)</f>
        <v>8.2</v>
      </c>
      <c r="K33" s="16" t="n">
        <f aca="false">IF($A33="","",DATE(YEAR($A33),MONTH($A33),1))</f>
        <v>46082</v>
      </c>
    </row>
    <row r="34" customFormat="false" ht="15" hidden="false" customHeight="false" outlineLevel="0" collapsed="false">
      <c r="A34" s="25" t="n">
        <v>46093</v>
      </c>
      <c r="B34" s="19" t="s">
        <v>54</v>
      </c>
      <c r="C34" s="19" t="n">
        <v>1</v>
      </c>
      <c r="D34" s="26" t="n">
        <v>0</v>
      </c>
      <c r="E34" s="27" t="str">
        <f aca="false">IF($B34="","",IFERROR(INDEX(Products!$B$2:$B$201,MATCH($B34,Products!$A$2:$A$201,0)),"Unknown code"))</f>
        <v>Paper filters (100 pcs)</v>
      </c>
      <c r="F34" s="22" t="str">
        <f aca="false">IF($B34="","",IFERROR(INDEX(Products!$C$2:$C$201,MATCH($B34,Products!$A$2:$A$201,0)),""))</f>
        <v>Accessories</v>
      </c>
      <c r="G34" s="17" t="n">
        <f aca="false">IF($B34="","",IFERROR(INDEX(Products!$D$2:$D$201,MATCH($B34,Products!$A$2:$A$201,0)),0))</f>
        <v>4.5</v>
      </c>
      <c r="H34" s="17" t="n">
        <f aca="false">IF($B34="","",C34*G34*(1-D34))</f>
        <v>4.5</v>
      </c>
      <c r="I34" s="17" t="n">
        <f aca="false">IF($B34="","",C34*IFERROR(INDEX(Products!$E$2:$E$201,MATCH($B34,Products!$A$2:$A$201,0)),0))</f>
        <v>1.7</v>
      </c>
      <c r="J34" s="17" t="n">
        <f aca="false">IF($B34="","",H34-I34)</f>
        <v>2.8</v>
      </c>
      <c r="K34" s="16" t="n">
        <f aca="false">IF($A34="","",DATE(YEAR($A34),MONTH($A34),1))</f>
        <v>46082</v>
      </c>
    </row>
    <row r="35" customFormat="false" ht="15" hidden="false" customHeight="false" outlineLevel="0" collapsed="false">
      <c r="A35" s="25" t="n">
        <v>46094</v>
      </c>
      <c r="B35" s="19" t="s">
        <v>40</v>
      </c>
      <c r="C35" s="19" t="n">
        <v>1</v>
      </c>
      <c r="D35" s="26" t="n">
        <v>0</v>
      </c>
      <c r="E35" s="27" t="str">
        <f aca="false">IF($B35="","",IFERROR(INDEX(Products!$B$2:$B$201,MATCH($B35,Products!$A$2:$A$201,0)),"Unknown code"))</f>
        <v>Whole bean coffee 250 g</v>
      </c>
      <c r="F35" s="22" t="str">
        <f aca="false">IF($B35="","",IFERROR(INDEX(Products!$C$2:$C$201,MATCH($B35,Products!$A$2:$A$201,0)),""))</f>
        <v>Coffee</v>
      </c>
      <c r="G35" s="17" t="n">
        <f aca="false">IF($B35="","",IFERROR(INDEX(Products!$D$2:$D$201,MATCH($B35,Products!$A$2:$A$201,0)),0))</f>
        <v>9.5</v>
      </c>
      <c r="H35" s="17" t="n">
        <f aca="false">IF($B35="","",C35*G35*(1-D35))</f>
        <v>9.5</v>
      </c>
      <c r="I35" s="17" t="n">
        <f aca="false">IF($B35="","",C35*IFERROR(INDEX(Products!$E$2:$E$201,MATCH($B35,Products!$A$2:$A$201,0)),0))</f>
        <v>4.5</v>
      </c>
      <c r="J35" s="17" t="n">
        <f aca="false">IF($B35="","",H35-I35)</f>
        <v>5</v>
      </c>
      <c r="K35" s="16" t="n">
        <f aca="false">IF($A35="","",DATE(YEAR($A35),MONTH($A35),1))</f>
        <v>46082</v>
      </c>
    </row>
    <row r="36" customFormat="false" ht="15" hidden="false" customHeight="false" outlineLevel="0" collapsed="false">
      <c r="A36" s="25" t="n">
        <v>46095</v>
      </c>
      <c r="B36" s="19" t="s">
        <v>44</v>
      </c>
      <c r="C36" s="19" t="n">
        <v>2</v>
      </c>
      <c r="D36" s="26" t="n">
        <v>0</v>
      </c>
      <c r="E36" s="27" t="str">
        <f aca="false">IF($B36="","",IFERROR(INDEX(Products!$B$2:$B$201,MATCH($B36,Products!$A$2:$A$201,0)),"Unknown code"))</f>
        <v>Specialty coffee 250 g</v>
      </c>
      <c r="F36" s="22" t="str">
        <f aca="false">IF($B36="","",IFERROR(INDEX(Products!$C$2:$C$201,MATCH($B36,Products!$A$2:$A$201,0)),""))</f>
        <v>Coffee</v>
      </c>
      <c r="G36" s="17" t="n">
        <f aca="false">IF($B36="","",IFERROR(INDEX(Products!$D$2:$D$201,MATCH($B36,Products!$A$2:$A$201,0)),0))</f>
        <v>14</v>
      </c>
      <c r="H36" s="17" t="n">
        <f aca="false">IF($B36="","",C36*G36*(1-D36))</f>
        <v>28</v>
      </c>
      <c r="I36" s="17" t="n">
        <f aca="false">IF($B36="","",C36*IFERROR(INDEX(Products!$E$2:$E$201,MATCH($B36,Products!$A$2:$A$201,0)),0))</f>
        <v>13.8</v>
      </c>
      <c r="J36" s="17" t="n">
        <f aca="false">IF($B36="","",H36-I36)</f>
        <v>14.2</v>
      </c>
      <c r="K36" s="16" t="n">
        <f aca="false">IF($A36="","",DATE(YEAR($A36),MONTH($A36),1))</f>
        <v>46082</v>
      </c>
    </row>
    <row r="37" customFormat="false" ht="15" hidden="false" customHeight="false" outlineLevel="0" collapsed="false">
      <c r="A37" s="25" t="n">
        <v>46097</v>
      </c>
      <c r="B37" s="19" t="s">
        <v>42</v>
      </c>
      <c r="C37" s="19" t="n">
        <v>2</v>
      </c>
      <c r="D37" s="26" t="n">
        <v>0</v>
      </c>
      <c r="E37" s="27" t="str">
        <f aca="false">IF($B37="","",IFERROR(INDEX(Products!$B$2:$B$201,MATCH($B37,Products!$A$2:$A$201,0)),"Unknown code"))</f>
        <v>Ground coffee 500 g</v>
      </c>
      <c r="F37" s="22" t="str">
        <f aca="false">IF($B37="","",IFERROR(INDEX(Products!$C$2:$C$201,MATCH($B37,Products!$A$2:$A$201,0)),""))</f>
        <v>Coffee</v>
      </c>
      <c r="G37" s="17" t="n">
        <f aca="false">IF($B37="","",IFERROR(INDEX(Products!$D$2:$D$201,MATCH($B37,Products!$A$2:$A$201,0)),0))</f>
        <v>16</v>
      </c>
      <c r="H37" s="17" t="n">
        <f aca="false">IF($B37="","",C37*G37*(1-D37))</f>
        <v>32</v>
      </c>
      <c r="I37" s="17" t="n">
        <f aca="false">IF($B37="","",C37*IFERROR(INDEX(Products!$E$2:$E$201,MATCH($B37,Products!$A$2:$A$201,0)),0))</f>
        <v>15.6</v>
      </c>
      <c r="J37" s="17" t="n">
        <f aca="false">IF($B37="","",H37-I37)</f>
        <v>16.4</v>
      </c>
      <c r="K37" s="16" t="n">
        <f aca="false">IF($A37="","",DATE(YEAR($A37),MONTH($A37),1))</f>
        <v>46082</v>
      </c>
    </row>
    <row r="38" customFormat="false" ht="15" hidden="false" customHeight="false" outlineLevel="0" collapsed="false">
      <c r="A38" s="25" t="n">
        <v>46097</v>
      </c>
      <c r="B38" s="19" t="s">
        <v>42</v>
      </c>
      <c r="C38" s="19" t="n">
        <v>1</v>
      </c>
      <c r="D38" s="26" t="n">
        <v>0.1</v>
      </c>
      <c r="E38" s="27" t="str">
        <f aca="false">IF($B38="","",IFERROR(INDEX(Products!$B$2:$B$201,MATCH($B38,Products!$A$2:$A$201,0)),"Unknown code"))</f>
        <v>Ground coffee 500 g</v>
      </c>
      <c r="F38" s="22" t="str">
        <f aca="false">IF($B38="","",IFERROR(INDEX(Products!$C$2:$C$201,MATCH($B38,Products!$A$2:$A$201,0)),""))</f>
        <v>Coffee</v>
      </c>
      <c r="G38" s="17" t="n">
        <f aca="false">IF($B38="","",IFERROR(INDEX(Products!$D$2:$D$201,MATCH($B38,Products!$A$2:$A$201,0)),0))</f>
        <v>16</v>
      </c>
      <c r="H38" s="17" t="n">
        <f aca="false">IF($B38="","",C38*G38*(1-D38))</f>
        <v>14.4</v>
      </c>
      <c r="I38" s="17" t="n">
        <f aca="false">IF($B38="","",C38*IFERROR(INDEX(Products!$E$2:$E$201,MATCH($B38,Products!$A$2:$A$201,0)),0))</f>
        <v>7.8</v>
      </c>
      <c r="J38" s="17" t="n">
        <f aca="false">IF($B38="","",H38-I38)</f>
        <v>6.6</v>
      </c>
      <c r="K38" s="16" t="n">
        <f aca="false">IF($A38="","",DATE(YEAR($A38),MONTH($A38),1))</f>
        <v>46082</v>
      </c>
    </row>
    <row r="39" customFormat="false" ht="15" hidden="false" customHeight="false" outlineLevel="0" collapsed="false">
      <c r="A39" s="25" t="n">
        <v>46100</v>
      </c>
      <c r="B39" s="19" t="s">
        <v>46</v>
      </c>
      <c r="C39" s="19" t="n">
        <v>2</v>
      </c>
      <c r="D39" s="26" t="n">
        <v>0.1</v>
      </c>
      <c r="E39" s="27" t="str">
        <f aca="false">IF($B39="","",IFERROR(INDEX(Products!$B$2:$B$201,MATCH($B39,Products!$A$2:$A$201,0)),"Unknown code"))</f>
        <v>Green tea 50 g</v>
      </c>
      <c r="F39" s="22" t="str">
        <f aca="false">IF($B39="","",IFERROR(INDEX(Products!$C$2:$C$201,MATCH($B39,Products!$A$2:$A$201,0)),""))</f>
        <v>Tea</v>
      </c>
      <c r="G39" s="17" t="n">
        <f aca="false">IF($B39="","",IFERROR(INDEX(Products!$D$2:$D$201,MATCH($B39,Products!$A$2:$A$201,0)),0))</f>
        <v>5.5</v>
      </c>
      <c r="H39" s="17" t="n">
        <f aca="false">IF($B39="","",C39*G39*(1-D39))</f>
        <v>9.9</v>
      </c>
      <c r="I39" s="17" t="n">
        <f aca="false">IF($B39="","",C39*IFERROR(INDEX(Products!$E$2:$E$201,MATCH($B39,Products!$A$2:$A$201,0)),0))</f>
        <v>4.4</v>
      </c>
      <c r="J39" s="17" t="n">
        <f aca="false">IF($B39="","",H39-I39)</f>
        <v>5.5</v>
      </c>
      <c r="K39" s="16" t="n">
        <f aca="false">IF($A39="","",DATE(YEAR($A39),MONTH($A39),1))</f>
        <v>46082</v>
      </c>
    </row>
    <row r="40" customFormat="false" ht="15" hidden="false" customHeight="false" outlineLevel="0" collapsed="false">
      <c r="A40" s="25" t="n">
        <v>46102</v>
      </c>
      <c r="B40" s="19" t="s">
        <v>58</v>
      </c>
      <c r="C40" s="19" t="n">
        <v>1</v>
      </c>
      <c r="D40" s="26" t="n">
        <v>0</v>
      </c>
      <c r="E40" s="27" t="str">
        <f aca="false">IF($B40="","",IFERROR(INDEX(Products!$B$2:$B$201,MATCH($B40,Products!$A$2:$A$201,0)),"Unknown code"))</f>
        <v>Oat cookies (6 pcs)</v>
      </c>
      <c r="F40" s="22" t="str">
        <f aca="false">IF($B40="","",IFERROR(INDEX(Products!$C$2:$C$201,MATCH($B40,Products!$A$2:$A$201,0)),""))</f>
        <v>Snacks</v>
      </c>
      <c r="G40" s="17" t="n">
        <f aca="false">IF($B40="","",IFERROR(INDEX(Products!$D$2:$D$201,MATCH($B40,Products!$A$2:$A$201,0)),0))</f>
        <v>3.8</v>
      </c>
      <c r="H40" s="17" t="n">
        <f aca="false">IF($B40="","",C40*G40*(1-D40))</f>
        <v>3.8</v>
      </c>
      <c r="I40" s="17" t="n">
        <f aca="false">IF($B40="","",C40*IFERROR(INDEX(Products!$E$2:$E$201,MATCH($B40,Products!$A$2:$A$201,0)),0))</f>
        <v>1.4</v>
      </c>
      <c r="J40" s="17" t="n">
        <f aca="false">IF($B40="","",H40-I40)</f>
        <v>2.4</v>
      </c>
      <c r="K40" s="16" t="n">
        <f aca="false">IF($A40="","",DATE(YEAR($A40),MONTH($A40),1))</f>
        <v>46082</v>
      </c>
    </row>
    <row r="41" customFormat="false" ht="15" hidden="false" customHeight="false" outlineLevel="0" collapsed="false">
      <c r="A41" s="25" t="n">
        <v>46102</v>
      </c>
      <c r="B41" s="19" t="s">
        <v>42</v>
      </c>
      <c r="C41" s="19" t="n">
        <v>2</v>
      </c>
      <c r="D41" s="26" t="n">
        <v>0</v>
      </c>
      <c r="E41" s="27" t="str">
        <f aca="false">IF($B41="","",IFERROR(INDEX(Products!$B$2:$B$201,MATCH($B41,Products!$A$2:$A$201,0)),"Unknown code"))</f>
        <v>Ground coffee 500 g</v>
      </c>
      <c r="F41" s="22" t="str">
        <f aca="false">IF($B41="","",IFERROR(INDEX(Products!$C$2:$C$201,MATCH($B41,Products!$A$2:$A$201,0)),""))</f>
        <v>Coffee</v>
      </c>
      <c r="G41" s="17" t="n">
        <f aca="false">IF($B41="","",IFERROR(INDEX(Products!$D$2:$D$201,MATCH($B41,Products!$A$2:$A$201,0)),0))</f>
        <v>16</v>
      </c>
      <c r="H41" s="17" t="n">
        <f aca="false">IF($B41="","",C41*G41*(1-D41))</f>
        <v>32</v>
      </c>
      <c r="I41" s="17" t="n">
        <f aca="false">IF($B41="","",C41*IFERROR(INDEX(Products!$E$2:$E$201,MATCH($B41,Products!$A$2:$A$201,0)),0))</f>
        <v>15.6</v>
      </c>
      <c r="J41" s="17" t="n">
        <f aca="false">IF($B41="","",H41-I41)</f>
        <v>16.4</v>
      </c>
      <c r="K41" s="16" t="n">
        <f aca="false">IF($A41="","",DATE(YEAR($A41),MONTH($A41),1))</f>
        <v>46082</v>
      </c>
    </row>
    <row r="42" customFormat="false" ht="15" hidden="false" customHeight="false" outlineLevel="0" collapsed="false">
      <c r="A42" s="25" t="n">
        <v>46104</v>
      </c>
      <c r="B42" s="19" t="s">
        <v>42</v>
      </c>
      <c r="C42" s="19" t="n">
        <v>2</v>
      </c>
      <c r="D42" s="26" t="n">
        <v>0</v>
      </c>
      <c r="E42" s="27" t="str">
        <f aca="false">IF($B42="","",IFERROR(INDEX(Products!$B$2:$B$201,MATCH($B42,Products!$A$2:$A$201,0)),"Unknown code"))</f>
        <v>Ground coffee 500 g</v>
      </c>
      <c r="F42" s="22" t="str">
        <f aca="false">IF($B42="","",IFERROR(INDEX(Products!$C$2:$C$201,MATCH($B42,Products!$A$2:$A$201,0)),""))</f>
        <v>Coffee</v>
      </c>
      <c r="G42" s="17" t="n">
        <f aca="false">IF($B42="","",IFERROR(INDEX(Products!$D$2:$D$201,MATCH($B42,Products!$A$2:$A$201,0)),0))</f>
        <v>16</v>
      </c>
      <c r="H42" s="17" t="n">
        <f aca="false">IF($B42="","",C42*G42*(1-D42))</f>
        <v>32</v>
      </c>
      <c r="I42" s="17" t="n">
        <f aca="false">IF($B42="","",C42*IFERROR(INDEX(Products!$E$2:$E$201,MATCH($B42,Products!$A$2:$A$201,0)),0))</f>
        <v>15.6</v>
      </c>
      <c r="J42" s="17" t="n">
        <f aca="false">IF($B42="","",H42-I42)</f>
        <v>16.4</v>
      </c>
      <c r="K42" s="16" t="n">
        <f aca="false">IF($A42="","",DATE(YEAR($A42),MONTH($A42),1))</f>
        <v>46082</v>
      </c>
    </row>
    <row r="43" customFormat="false" ht="15" hidden="false" customHeight="false" outlineLevel="0" collapsed="false">
      <c r="A43" s="25" t="n">
        <v>46104</v>
      </c>
      <c r="B43" s="19" t="s">
        <v>60</v>
      </c>
      <c r="C43" s="19" t="n">
        <v>1</v>
      </c>
      <c r="D43" s="26" t="n">
        <v>0</v>
      </c>
      <c r="E43" s="27" t="str">
        <f aca="false">IF($B43="","",IFERROR(INDEX(Products!$B$2:$B$201,MATCH($B43,Products!$A$2:$A$201,0)),"Unknown code"))</f>
        <v>Dark chocolate bar 70%</v>
      </c>
      <c r="F43" s="22" t="str">
        <f aca="false">IF($B43="","",IFERROR(INDEX(Products!$C$2:$C$201,MATCH($B43,Products!$A$2:$A$201,0)),""))</f>
        <v>Snacks</v>
      </c>
      <c r="G43" s="17" t="n">
        <f aca="false">IF($B43="","",IFERROR(INDEX(Products!$D$2:$D$201,MATCH($B43,Products!$A$2:$A$201,0)),0))</f>
        <v>3.2</v>
      </c>
      <c r="H43" s="17" t="n">
        <f aca="false">IF($B43="","",C43*G43*(1-D43))</f>
        <v>3.2</v>
      </c>
      <c r="I43" s="17" t="n">
        <f aca="false">IF($B43="","",C43*IFERROR(INDEX(Products!$E$2:$E$201,MATCH($B43,Products!$A$2:$A$201,0)),0))</f>
        <v>1.3</v>
      </c>
      <c r="J43" s="17" t="n">
        <f aca="false">IF($B43="","",H43-I43)</f>
        <v>1.9</v>
      </c>
      <c r="K43" s="16" t="n">
        <f aca="false">IF($A43="","",DATE(YEAR($A43),MONTH($A43),1))</f>
        <v>46082</v>
      </c>
    </row>
    <row r="44" customFormat="false" ht="15" hidden="false" customHeight="false" outlineLevel="0" collapsed="false">
      <c r="A44" s="25" t="n">
        <v>46108</v>
      </c>
      <c r="B44" s="19" t="s">
        <v>46</v>
      </c>
      <c r="C44" s="19" t="n">
        <v>2</v>
      </c>
      <c r="D44" s="26" t="n">
        <v>0</v>
      </c>
      <c r="E44" s="27" t="str">
        <f aca="false">IF($B44="","",IFERROR(INDEX(Products!$B$2:$B$201,MATCH($B44,Products!$A$2:$A$201,0)),"Unknown code"))</f>
        <v>Green tea 50 g</v>
      </c>
      <c r="F44" s="22" t="str">
        <f aca="false">IF($B44="","",IFERROR(INDEX(Products!$C$2:$C$201,MATCH($B44,Products!$A$2:$A$201,0)),""))</f>
        <v>Tea</v>
      </c>
      <c r="G44" s="17" t="n">
        <f aca="false">IF($B44="","",IFERROR(INDEX(Products!$D$2:$D$201,MATCH($B44,Products!$A$2:$A$201,0)),0))</f>
        <v>5.5</v>
      </c>
      <c r="H44" s="17" t="n">
        <f aca="false">IF($B44="","",C44*G44*(1-D44))</f>
        <v>11</v>
      </c>
      <c r="I44" s="17" t="n">
        <f aca="false">IF($B44="","",C44*IFERROR(INDEX(Products!$E$2:$E$201,MATCH($B44,Products!$A$2:$A$201,0)),0))</f>
        <v>4.4</v>
      </c>
      <c r="J44" s="17" t="n">
        <f aca="false">IF($B44="","",H44-I44)</f>
        <v>6.6</v>
      </c>
      <c r="K44" s="16" t="n">
        <f aca="false">IF($A44="","",DATE(YEAR($A44),MONTH($A44),1))</f>
        <v>46082</v>
      </c>
    </row>
    <row r="45" customFormat="false" ht="15" hidden="false" customHeight="false" outlineLevel="0" collapsed="false">
      <c r="A45" s="25" t="n">
        <v>46113</v>
      </c>
      <c r="B45" s="19" t="s">
        <v>40</v>
      </c>
      <c r="C45" s="19" t="n">
        <v>2</v>
      </c>
      <c r="D45" s="26" t="n">
        <v>0</v>
      </c>
      <c r="E45" s="27" t="str">
        <f aca="false">IF($B45="","",IFERROR(INDEX(Products!$B$2:$B$201,MATCH($B45,Products!$A$2:$A$201,0)),"Unknown code"))</f>
        <v>Whole bean coffee 250 g</v>
      </c>
      <c r="F45" s="22" t="str">
        <f aca="false">IF($B45="","",IFERROR(INDEX(Products!$C$2:$C$201,MATCH($B45,Products!$A$2:$A$201,0)),""))</f>
        <v>Coffee</v>
      </c>
      <c r="G45" s="17" t="n">
        <f aca="false">IF($B45="","",IFERROR(INDEX(Products!$D$2:$D$201,MATCH($B45,Products!$A$2:$A$201,0)),0))</f>
        <v>9.5</v>
      </c>
      <c r="H45" s="17" t="n">
        <f aca="false">IF($B45="","",C45*G45*(1-D45))</f>
        <v>19</v>
      </c>
      <c r="I45" s="17" t="n">
        <f aca="false">IF($B45="","",C45*IFERROR(INDEX(Products!$E$2:$E$201,MATCH($B45,Products!$A$2:$A$201,0)),0))</f>
        <v>9</v>
      </c>
      <c r="J45" s="17" t="n">
        <f aca="false">IF($B45="","",H45-I45)</f>
        <v>10</v>
      </c>
      <c r="K45" s="16" t="n">
        <f aca="false">IF($A45="","",DATE(YEAR($A45),MONTH($A45),1))</f>
        <v>46113</v>
      </c>
    </row>
    <row r="46" customFormat="false" ht="15" hidden="false" customHeight="false" outlineLevel="0" collapsed="false">
      <c r="A46" s="25" t="n">
        <v>46113</v>
      </c>
      <c r="B46" s="19" t="s">
        <v>60</v>
      </c>
      <c r="C46" s="19" t="n">
        <v>2</v>
      </c>
      <c r="D46" s="26" t="n">
        <v>0</v>
      </c>
      <c r="E46" s="27" t="str">
        <f aca="false">IF($B46="","",IFERROR(INDEX(Products!$B$2:$B$201,MATCH($B46,Products!$A$2:$A$201,0)),"Unknown code"))</f>
        <v>Dark chocolate bar 70%</v>
      </c>
      <c r="F46" s="22" t="str">
        <f aca="false">IF($B46="","",IFERROR(INDEX(Products!$C$2:$C$201,MATCH($B46,Products!$A$2:$A$201,0)),""))</f>
        <v>Snacks</v>
      </c>
      <c r="G46" s="17" t="n">
        <f aca="false">IF($B46="","",IFERROR(INDEX(Products!$D$2:$D$201,MATCH($B46,Products!$A$2:$A$201,0)),0))</f>
        <v>3.2</v>
      </c>
      <c r="H46" s="17" t="n">
        <f aca="false">IF($B46="","",C46*G46*(1-D46))</f>
        <v>6.4</v>
      </c>
      <c r="I46" s="17" t="n">
        <f aca="false">IF($B46="","",C46*IFERROR(INDEX(Products!$E$2:$E$201,MATCH($B46,Products!$A$2:$A$201,0)),0))</f>
        <v>2.6</v>
      </c>
      <c r="J46" s="17" t="n">
        <f aca="false">IF($B46="","",H46-I46)</f>
        <v>3.8</v>
      </c>
      <c r="K46" s="16" t="n">
        <f aca="false">IF($A46="","",DATE(YEAR($A46),MONTH($A46),1))</f>
        <v>46113</v>
      </c>
    </row>
    <row r="47" customFormat="false" ht="15" hidden="false" customHeight="false" outlineLevel="0" collapsed="false">
      <c r="A47" s="25" t="n">
        <v>46116</v>
      </c>
      <c r="B47" s="19" t="s">
        <v>42</v>
      </c>
      <c r="C47" s="19" t="n">
        <v>1</v>
      </c>
      <c r="D47" s="26" t="n">
        <v>0</v>
      </c>
      <c r="E47" s="27" t="str">
        <f aca="false">IF($B47="","",IFERROR(INDEX(Products!$B$2:$B$201,MATCH($B47,Products!$A$2:$A$201,0)),"Unknown code"))</f>
        <v>Ground coffee 500 g</v>
      </c>
      <c r="F47" s="22" t="str">
        <f aca="false">IF($B47="","",IFERROR(INDEX(Products!$C$2:$C$201,MATCH($B47,Products!$A$2:$A$201,0)),""))</f>
        <v>Coffee</v>
      </c>
      <c r="G47" s="17" t="n">
        <f aca="false">IF($B47="","",IFERROR(INDEX(Products!$D$2:$D$201,MATCH($B47,Products!$A$2:$A$201,0)),0))</f>
        <v>16</v>
      </c>
      <c r="H47" s="17" t="n">
        <f aca="false">IF($B47="","",C47*G47*(1-D47))</f>
        <v>16</v>
      </c>
      <c r="I47" s="17" t="n">
        <f aca="false">IF($B47="","",C47*IFERROR(INDEX(Products!$E$2:$E$201,MATCH($B47,Products!$A$2:$A$201,0)),0))</f>
        <v>7.8</v>
      </c>
      <c r="J47" s="17" t="n">
        <f aca="false">IF($B47="","",H47-I47)</f>
        <v>8.2</v>
      </c>
      <c r="K47" s="16" t="n">
        <f aca="false">IF($A47="","",DATE(YEAR($A47),MONTH($A47),1))</f>
        <v>46113</v>
      </c>
    </row>
    <row r="48" customFormat="false" ht="15" hidden="false" customHeight="false" outlineLevel="0" collapsed="false">
      <c r="A48" s="25" t="n">
        <v>46116</v>
      </c>
      <c r="B48" s="19" t="s">
        <v>62</v>
      </c>
      <c r="C48" s="19" t="n">
        <v>2</v>
      </c>
      <c r="D48" s="26" t="n">
        <v>0.1</v>
      </c>
      <c r="E48" s="27" t="str">
        <f aca="false">IF($B48="","",IFERROR(INDEX(Products!$B$2:$B$201,MATCH($B48,Products!$A$2:$A$201,0)),"Unknown code"))</f>
        <v>Granola 300 g</v>
      </c>
      <c r="F48" s="22" t="str">
        <f aca="false">IF($B48="","",IFERROR(INDEX(Products!$C$2:$C$201,MATCH($B48,Products!$A$2:$A$201,0)),""))</f>
        <v>Snacks</v>
      </c>
      <c r="G48" s="17" t="n">
        <f aca="false">IF($B48="","",IFERROR(INDEX(Products!$D$2:$D$201,MATCH($B48,Products!$A$2:$A$201,0)),0))</f>
        <v>7</v>
      </c>
      <c r="H48" s="17" t="n">
        <f aca="false">IF($B48="","",C48*G48*(1-D48))</f>
        <v>12.6</v>
      </c>
      <c r="I48" s="17" t="n">
        <f aca="false">IF($B48="","",C48*IFERROR(INDEX(Products!$E$2:$E$201,MATCH($B48,Products!$A$2:$A$201,0)),0))</f>
        <v>5.8</v>
      </c>
      <c r="J48" s="17" t="n">
        <f aca="false">IF($B48="","",H48-I48)</f>
        <v>6.8</v>
      </c>
      <c r="K48" s="16" t="n">
        <f aca="false">IF($A48="","",DATE(YEAR($A48),MONTH($A48),1))</f>
        <v>46113</v>
      </c>
    </row>
    <row r="49" customFormat="false" ht="15" hidden="false" customHeight="false" outlineLevel="0" collapsed="false">
      <c r="A49" s="25" t="n">
        <v>46117</v>
      </c>
      <c r="B49" s="19" t="s">
        <v>40</v>
      </c>
      <c r="C49" s="19" t="n">
        <v>2</v>
      </c>
      <c r="D49" s="26" t="n">
        <v>0</v>
      </c>
      <c r="E49" s="27" t="str">
        <f aca="false">IF($B49="","",IFERROR(INDEX(Products!$B$2:$B$201,MATCH($B49,Products!$A$2:$A$201,0)),"Unknown code"))</f>
        <v>Whole bean coffee 250 g</v>
      </c>
      <c r="F49" s="22" t="str">
        <f aca="false">IF($B49="","",IFERROR(INDEX(Products!$C$2:$C$201,MATCH($B49,Products!$A$2:$A$201,0)),""))</f>
        <v>Coffee</v>
      </c>
      <c r="G49" s="17" t="n">
        <f aca="false">IF($B49="","",IFERROR(INDEX(Products!$D$2:$D$201,MATCH($B49,Products!$A$2:$A$201,0)),0))</f>
        <v>9.5</v>
      </c>
      <c r="H49" s="17" t="n">
        <f aca="false">IF($B49="","",C49*G49*(1-D49))</f>
        <v>19</v>
      </c>
      <c r="I49" s="17" t="n">
        <f aca="false">IF($B49="","",C49*IFERROR(INDEX(Products!$E$2:$E$201,MATCH($B49,Products!$A$2:$A$201,0)),0))</f>
        <v>9</v>
      </c>
      <c r="J49" s="17" t="n">
        <f aca="false">IF($B49="","",H49-I49)</f>
        <v>10</v>
      </c>
      <c r="K49" s="16" t="n">
        <f aca="false">IF($A49="","",DATE(YEAR($A49),MONTH($A49),1))</f>
        <v>46113</v>
      </c>
    </row>
    <row r="50" customFormat="false" ht="15" hidden="false" customHeight="false" outlineLevel="0" collapsed="false">
      <c r="A50" s="25" t="n">
        <v>46120</v>
      </c>
      <c r="B50" s="19" t="s">
        <v>40</v>
      </c>
      <c r="C50" s="19" t="n">
        <v>1</v>
      </c>
      <c r="D50" s="26" t="n">
        <v>0.1</v>
      </c>
      <c r="E50" s="27" t="str">
        <f aca="false">IF($B50="","",IFERROR(INDEX(Products!$B$2:$B$201,MATCH($B50,Products!$A$2:$A$201,0)),"Unknown code"))</f>
        <v>Whole bean coffee 250 g</v>
      </c>
      <c r="F50" s="22" t="str">
        <f aca="false">IF($B50="","",IFERROR(INDEX(Products!$C$2:$C$201,MATCH($B50,Products!$A$2:$A$201,0)),""))</f>
        <v>Coffee</v>
      </c>
      <c r="G50" s="17" t="n">
        <f aca="false">IF($B50="","",IFERROR(INDEX(Products!$D$2:$D$201,MATCH($B50,Products!$A$2:$A$201,0)),0))</f>
        <v>9.5</v>
      </c>
      <c r="H50" s="17" t="n">
        <f aca="false">IF($B50="","",C50*G50*(1-D50))</f>
        <v>8.55</v>
      </c>
      <c r="I50" s="17" t="n">
        <f aca="false">IF($B50="","",C50*IFERROR(INDEX(Products!$E$2:$E$201,MATCH($B50,Products!$A$2:$A$201,0)),0))</f>
        <v>4.5</v>
      </c>
      <c r="J50" s="17" t="n">
        <f aca="false">IF($B50="","",H50-I50)</f>
        <v>4.05</v>
      </c>
      <c r="K50" s="16" t="n">
        <f aca="false">IF($A50="","",DATE(YEAR($A50),MONTH($A50),1))</f>
        <v>46113</v>
      </c>
    </row>
    <row r="51" customFormat="false" ht="15" hidden="false" customHeight="false" outlineLevel="0" collapsed="false">
      <c r="A51" s="25" t="n">
        <v>46122</v>
      </c>
      <c r="B51" s="19" t="s">
        <v>40</v>
      </c>
      <c r="C51" s="19" t="n">
        <v>2</v>
      </c>
      <c r="D51" s="26" t="n">
        <v>0</v>
      </c>
      <c r="E51" s="27" t="str">
        <f aca="false">IF($B51="","",IFERROR(INDEX(Products!$B$2:$B$201,MATCH($B51,Products!$A$2:$A$201,0)),"Unknown code"))</f>
        <v>Whole bean coffee 250 g</v>
      </c>
      <c r="F51" s="22" t="str">
        <f aca="false">IF($B51="","",IFERROR(INDEX(Products!$C$2:$C$201,MATCH($B51,Products!$A$2:$A$201,0)),""))</f>
        <v>Coffee</v>
      </c>
      <c r="G51" s="17" t="n">
        <f aca="false">IF($B51="","",IFERROR(INDEX(Products!$D$2:$D$201,MATCH($B51,Products!$A$2:$A$201,0)),0))</f>
        <v>9.5</v>
      </c>
      <c r="H51" s="17" t="n">
        <f aca="false">IF($B51="","",C51*G51*(1-D51))</f>
        <v>19</v>
      </c>
      <c r="I51" s="17" t="n">
        <f aca="false">IF($B51="","",C51*IFERROR(INDEX(Products!$E$2:$E$201,MATCH($B51,Products!$A$2:$A$201,0)),0))</f>
        <v>9</v>
      </c>
      <c r="J51" s="17" t="n">
        <f aca="false">IF($B51="","",H51-I51)</f>
        <v>10</v>
      </c>
      <c r="K51" s="16" t="n">
        <f aca="false">IF($A51="","",DATE(YEAR($A51),MONTH($A51),1))</f>
        <v>46113</v>
      </c>
    </row>
    <row r="52" customFormat="false" ht="15" hidden="false" customHeight="false" outlineLevel="0" collapsed="false">
      <c r="A52" s="25" t="n">
        <v>46122</v>
      </c>
      <c r="B52" s="19" t="s">
        <v>54</v>
      </c>
      <c r="C52" s="19" t="n">
        <v>1</v>
      </c>
      <c r="D52" s="26" t="n">
        <v>0.05</v>
      </c>
      <c r="E52" s="27" t="str">
        <f aca="false">IF($B52="","",IFERROR(INDEX(Products!$B$2:$B$201,MATCH($B52,Products!$A$2:$A$201,0)),"Unknown code"))</f>
        <v>Paper filters (100 pcs)</v>
      </c>
      <c r="F52" s="22" t="str">
        <f aca="false">IF($B52="","",IFERROR(INDEX(Products!$C$2:$C$201,MATCH($B52,Products!$A$2:$A$201,0)),""))</f>
        <v>Accessories</v>
      </c>
      <c r="G52" s="17" t="n">
        <f aca="false">IF($B52="","",IFERROR(INDEX(Products!$D$2:$D$201,MATCH($B52,Products!$A$2:$A$201,0)),0))</f>
        <v>4.5</v>
      </c>
      <c r="H52" s="17" t="n">
        <f aca="false">IF($B52="","",C52*G52*(1-D52))</f>
        <v>4.275</v>
      </c>
      <c r="I52" s="17" t="n">
        <f aca="false">IF($B52="","",C52*IFERROR(INDEX(Products!$E$2:$E$201,MATCH($B52,Products!$A$2:$A$201,0)),0))</f>
        <v>1.7</v>
      </c>
      <c r="J52" s="17" t="n">
        <f aca="false">IF($B52="","",H52-I52)</f>
        <v>2.575</v>
      </c>
      <c r="K52" s="16" t="n">
        <f aca="false">IF($A52="","",DATE(YEAR($A52),MONTH($A52),1))</f>
        <v>46113</v>
      </c>
    </row>
    <row r="53" customFormat="false" ht="15" hidden="false" customHeight="false" outlineLevel="0" collapsed="false">
      <c r="A53" s="25" t="n">
        <v>46123</v>
      </c>
      <c r="B53" s="19" t="s">
        <v>54</v>
      </c>
      <c r="C53" s="19" t="n">
        <v>2</v>
      </c>
      <c r="D53" s="26" t="n">
        <v>0.05</v>
      </c>
      <c r="E53" s="27" t="str">
        <f aca="false">IF($B53="","",IFERROR(INDEX(Products!$B$2:$B$201,MATCH($B53,Products!$A$2:$A$201,0)),"Unknown code"))</f>
        <v>Paper filters (100 pcs)</v>
      </c>
      <c r="F53" s="22" t="str">
        <f aca="false">IF($B53="","",IFERROR(INDEX(Products!$C$2:$C$201,MATCH($B53,Products!$A$2:$A$201,0)),""))</f>
        <v>Accessories</v>
      </c>
      <c r="G53" s="17" t="n">
        <f aca="false">IF($B53="","",IFERROR(INDEX(Products!$D$2:$D$201,MATCH($B53,Products!$A$2:$A$201,0)),0))</f>
        <v>4.5</v>
      </c>
      <c r="H53" s="17" t="n">
        <f aca="false">IF($B53="","",C53*G53*(1-D53))</f>
        <v>8.55</v>
      </c>
      <c r="I53" s="17" t="n">
        <f aca="false">IF($B53="","",C53*IFERROR(INDEX(Products!$E$2:$E$201,MATCH($B53,Products!$A$2:$A$201,0)),0))</f>
        <v>3.4</v>
      </c>
      <c r="J53" s="17" t="n">
        <f aca="false">IF($B53="","",H53-I53)</f>
        <v>5.15</v>
      </c>
      <c r="K53" s="16" t="n">
        <f aca="false">IF($A53="","",DATE(YEAR($A53),MONTH($A53),1))</f>
        <v>46113</v>
      </c>
    </row>
    <row r="54" customFormat="false" ht="15" hidden="false" customHeight="false" outlineLevel="0" collapsed="false">
      <c r="A54" s="25" t="n">
        <v>46123</v>
      </c>
      <c r="B54" s="19" t="s">
        <v>44</v>
      </c>
      <c r="C54" s="19" t="n">
        <v>1</v>
      </c>
      <c r="D54" s="26" t="n">
        <v>0</v>
      </c>
      <c r="E54" s="27" t="str">
        <f aca="false">IF($B54="","",IFERROR(INDEX(Products!$B$2:$B$201,MATCH($B54,Products!$A$2:$A$201,0)),"Unknown code"))</f>
        <v>Specialty coffee 250 g</v>
      </c>
      <c r="F54" s="22" t="str">
        <f aca="false">IF($B54="","",IFERROR(INDEX(Products!$C$2:$C$201,MATCH($B54,Products!$A$2:$A$201,0)),""))</f>
        <v>Coffee</v>
      </c>
      <c r="G54" s="17" t="n">
        <f aca="false">IF($B54="","",IFERROR(INDEX(Products!$D$2:$D$201,MATCH($B54,Products!$A$2:$A$201,0)),0))</f>
        <v>14</v>
      </c>
      <c r="H54" s="17" t="n">
        <f aca="false">IF($B54="","",C54*G54*(1-D54))</f>
        <v>14</v>
      </c>
      <c r="I54" s="17" t="n">
        <f aca="false">IF($B54="","",C54*IFERROR(INDEX(Products!$E$2:$E$201,MATCH($B54,Products!$A$2:$A$201,0)),0))</f>
        <v>6.9</v>
      </c>
      <c r="J54" s="17" t="n">
        <f aca="false">IF($B54="","",H54-I54)</f>
        <v>7.1</v>
      </c>
      <c r="K54" s="16" t="n">
        <f aca="false">IF($A54="","",DATE(YEAR($A54),MONTH($A54),1))</f>
        <v>46113</v>
      </c>
    </row>
    <row r="55" customFormat="false" ht="15" hidden="false" customHeight="false" outlineLevel="0" collapsed="false">
      <c r="A55" s="25" t="n">
        <v>46125</v>
      </c>
      <c r="B55" s="19" t="s">
        <v>44</v>
      </c>
      <c r="C55" s="19" t="n">
        <v>1</v>
      </c>
      <c r="D55" s="26" t="n">
        <v>0.1</v>
      </c>
      <c r="E55" s="27" t="str">
        <f aca="false">IF($B55="","",IFERROR(INDEX(Products!$B$2:$B$201,MATCH($B55,Products!$A$2:$A$201,0)),"Unknown code"))</f>
        <v>Specialty coffee 250 g</v>
      </c>
      <c r="F55" s="22" t="str">
        <f aca="false">IF($B55="","",IFERROR(INDEX(Products!$C$2:$C$201,MATCH($B55,Products!$A$2:$A$201,0)),""))</f>
        <v>Coffee</v>
      </c>
      <c r="G55" s="17" t="n">
        <f aca="false">IF($B55="","",IFERROR(INDEX(Products!$D$2:$D$201,MATCH($B55,Products!$A$2:$A$201,0)),0))</f>
        <v>14</v>
      </c>
      <c r="H55" s="17" t="n">
        <f aca="false">IF($B55="","",C55*G55*(1-D55))</f>
        <v>12.6</v>
      </c>
      <c r="I55" s="17" t="n">
        <f aca="false">IF($B55="","",C55*IFERROR(INDEX(Products!$E$2:$E$201,MATCH($B55,Products!$A$2:$A$201,0)),0))</f>
        <v>6.9</v>
      </c>
      <c r="J55" s="17" t="n">
        <f aca="false">IF($B55="","",H55-I55)</f>
        <v>5.7</v>
      </c>
      <c r="K55" s="16" t="n">
        <f aca="false">IF($A55="","",DATE(YEAR($A55),MONTH($A55),1))</f>
        <v>46113</v>
      </c>
    </row>
    <row r="56" customFormat="false" ht="15" hidden="false" customHeight="false" outlineLevel="0" collapsed="false">
      <c r="A56" s="25" t="n">
        <v>46127</v>
      </c>
      <c r="B56" s="19" t="s">
        <v>44</v>
      </c>
      <c r="C56" s="19" t="n">
        <v>1</v>
      </c>
      <c r="D56" s="26" t="n">
        <v>0</v>
      </c>
      <c r="E56" s="27" t="str">
        <f aca="false">IF($B56="","",IFERROR(INDEX(Products!$B$2:$B$201,MATCH($B56,Products!$A$2:$A$201,0)),"Unknown code"))</f>
        <v>Specialty coffee 250 g</v>
      </c>
      <c r="F56" s="22" t="str">
        <f aca="false">IF($B56="","",IFERROR(INDEX(Products!$C$2:$C$201,MATCH($B56,Products!$A$2:$A$201,0)),""))</f>
        <v>Coffee</v>
      </c>
      <c r="G56" s="17" t="n">
        <f aca="false">IF($B56="","",IFERROR(INDEX(Products!$D$2:$D$201,MATCH($B56,Products!$A$2:$A$201,0)),0))</f>
        <v>14</v>
      </c>
      <c r="H56" s="17" t="n">
        <f aca="false">IF($B56="","",C56*G56*(1-D56))</f>
        <v>14</v>
      </c>
      <c r="I56" s="17" t="n">
        <f aca="false">IF($B56="","",C56*IFERROR(INDEX(Products!$E$2:$E$201,MATCH($B56,Products!$A$2:$A$201,0)),0))</f>
        <v>6.9</v>
      </c>
      <c r="J56" s="17" t="n">
        <f aca="false">IF($B56="","",H56-I56)</f>
        <v>7.1</v>
      </c>
      <c r="K56" s="16" t="n">
        <f aca="false">IF($A56="","",DATE(YEAR($A56),MONTH($A56),1))</f>
        <v>46113</v>
      </c>
    </row>
    <row r="57" customFormat="false" ht="15" hidden="false" customHeight="false" outlineLevel="0" collapsed="false">
      <c r="A57" s="25" t="n">
        <v>46127</v>
      </c>
      <c r="B57" s="19" t="s">
        <v>48</v>
      </c>
      <c r="C57" s="19" t="n">
        <v>2</v>
      </c>
      <c r="D57" s="26" t="n">
        <v>0</v>
      </c>
      <c r="E57" s="27" t="str">
        <f aca="false">IF($B57="","",IFERROR(INDEX(Products!$B$2:$B$201,MATCH($B57,Products!$A$2:$A$201,0)),"Unknown code"))</f>
        <v>Chai tea 50 g</v>
      </c>
      <c r="F57" s="22" t="str">
        <f aca="false">IF($B57="","",IFERROR(INDEX(Products!$C$2:$C$201,MATCH($B57,Products!$A$2:$A$201,0)),""))</f>
        <v>Tea</v>
      </c>
      <c r="G57" s="17" t="n">
        <f aca="false">IF($B57="","",IFERROR(INDEX(Products!$D$2:$D$201,MATCH($B57,Products!$A$2:$A$201,0)),0))</f>
        <v>6.5</v>
      </c>
      <c r="H57" s="17" t="n">
        <f aca="false">IF($B57="","",C57*G57*(1-D57))</f>
        <v>13</v>
      </c>
      <c r="I57" s="17" t="n">
        <f aca="false">IF($B57="","",C57*IFERROR(INDEX(Products!$E$2:$E$201,MATCH($B57,Products!$A$2:$A$201,0)),0))</f>
        <v>5.2</v>
      </c>
      <c r="J57" s="17" t="n">
        <f aca="false">IF($B57="","",H57-I57)</f>
        <v>7.8</v>
      </c>
      <c r="K57" s="16" t="n">
        <f aca="false">IF($A57="","",DATE(YEAR($A57),MONTH($A57),1))</f>
        <v>46113</v>
      </c>
    </row>
    <row r="58" customFormat="false" ht="15" hidden="false" customHeight="false" outlineLevel="0" collapsed="false">
      <c r="A58" s="25" t="n">
        <v>46128</v>
      </c>
      <c r="B58" s="19" t="s">
        <v>50</v>
      </c>
      <c r="C58" s="19" t="n">
        <v>1</v>
      </c>
      <c r="D58" s="26" t="n">
        <v>0</v>
      </c>
      <c r="E58" s="27" t="str">
        <f aca="false">IF($B58="","",IFERROR(INDEX(Products!$B$2:$B$201,MATCH($B58,Products!$A$2:$A$201,0)),"Unknown code"))</f>
        <v>Ceramic mug</v>
      </c>
      <c r="F58" s="22" t="str">
        <f aca="false">IF($B58="","",IFERROR(INDEX(Products!$C$2:$C$201,MATCH($B58,Products!$A$2:$A$201,0)),""))</f>
        <v>Accessories</v>
      </c>
      <c r="G58" s="17" t="n">
        <f aca="false">IF($B58="","",IFERROR(INDEX(Products!$D$2:$D$201,MATCH($B58,Products!$A$2:$A$201,0)),0))</f>
        <v>10</v>
      </c>
      <c r="H58" s="17" t="n">
        <f aca="false">IF($B58="","",C58*G58*(1-D58))</f>
        <v>10</v>
      </c>
      <c r="I58" s="17" t="n">
        <f aca="false">IF($B58="","",C58*IFERROR(INDEX(Products!$E$2:$E$201,MATCH($B58,Products!$A$2:$A$201,0)),0))</f>
        <v>4</v>
      </c>
      <c r="J58" s="17" t="n">
        <f aca="false">IF($B58="","",H58-I58)</f>
        <v>6</v>
      </c>
      <c r="K58" s="16" t="n">
        <f aca="false">IF($A58="","",DATE(YEAR($A58),MONTH($A58),1))</f>
        <v>46113</v>
      </c>
    </row>
    <row r="59" customFormat="false" ht="15" hidden="false" customHeight="false" outlineLevel="0" collapsed="false">
      <c r="A59" s="25" t="n">
        <v>46129</v>
      </c>
      <c r="B59" s="19" t="s">
        <v>46</v>
      </c>
      <c r="C59" s="19" t="n">
        <v>1</v>
      </c>
      <c r="D59" s="26" t="n">
        <v>0</v>
      </c>
      <c r="E59" s="27" t="str">
        <f aca="false">IF($B59="","",IFERROR(INDEX(Products!$B$2:$B$201,MATCH($B59,Products!$A$2:$A$201,0)),"Unknown code"))</f>
        <v>Green tea 50 g</v>
      </c>
      <c r="F59" s="22" t="str">
        <f aca="false">IF($B59="","",IFERROR(INDEX(Products!$C$2:$C$201,MATCH($B59,Products!$A$2:$A$201,0)),""))</f>
        <v>Tea</v>
      </c>
      <c r="G59" s="17" t="n">
        <f aca="false">IF($B59="","",IFERROR(INDEX(Products!$D$2:$D$201,MATCH($B59,Products!$A$2:$A$201,0)),0))</f>
        <v>5.5</v>
      </c>
      <c r="H59" s="17" t="n">
        <f aca="false">IF($B59="","",C59*G59*(1-D59))</f>
        <v>5.5</v>
      </c>
      <c r="I59" s="17" t="n">
        <f aca="false">IF($B59="","",C59*IFERROR(INDEX(Products!$E$2:$E$201,MATCH($B59,Products!$A$2:$A$201,0)),0))</f>
        <v>2.2</v>
      </c>
      <c r="J59" s="17" t="n">
        <f aca="false">IF($B59="","",H59-I59)</f>
        <v>3.3</v>
      </c>
      <c r="K59" s="16" t="n">
        <f aca="false">IF($A59="","",DATE(YEAR($A59),MONTH($A59),1))</f>
        <v>46113</v>
      </c>
    </row>
    <row r="60" customFormat="false" ht="15" hidden="false" customHeight="false" outlineLevel="0" collapsed="false">
      <c r="A60" s="25" t="n">
        <v>46135</v>
      </c>
      <c r="B60" s="19" t="s">
        <v>40</v>
      </c>
      <c r="C60" s="19" t="n">
        <v>1</v>
      </c>
      <c r="D60" s="26" t="n">
        <v>0.1</v>
      </c>
      <c r="E60" s="27" t="str">
        <f aca="false">IF($B60="","",IFERROR(INDEX(Products!$B$2:$B$201,MATCH($B60,Products!$A$2:$A$201,0)),"Unknown code"))</f>
        <v>Whole bean coffee 250 g</v>
      </c>
      <c r="F60" s="22" t="str">
        <f aca="false">IF($B60="","",IFERROR(INDEX(Products!$C$2:$C$201,MATCH($B60,Products!$A$2:$A$201,0)),""))</f>
        <v>Coffee</v>
      </c>
      <c r="G60" s="17" t="n">
        <f aca="false">IF($B60="","",IFERROR(INDEX(Products!$D$2:$D$201,MATCH($B60,Products!$A$2:$A$201,0)),0))</f>
        <v>9.5</v>
      </c>
      <c r="H60" s="17" t="n">
        <f aca="false">IF($B60="","",C60*G60*(1-D60))</f>
        <v>8.55</v>
      </c>
      <c r="I60" s="17" t="n">
        <f aca="false">IF($B60="","",C60*IFERROR(INDEX(Products!$E$2:$E$201,MATCH($B60,Products!$A$2:$A$201,0)),0))</f>
        <v>4.5</v>
      </c>
      <c r="J60" s="17" t="n">
        <f aca="false">IF($B60="","",H60-I60)</f>
        <v>4.05</v>
      </c>
      <c r="K60" s="16" t="n">
        <f aca="false">IF($A60="","",DATE(YEAR($A60),MONTH($A60),1))</f>
        <v>46113</v>
      </c>
    </row>
    <row r="61" customFormat="false" ht="15" hidden="false" customHeight="false" outlineLevel="0" collapsed="false">
      <c r="A61" s="25" t="n">
        <v>46137</v>
      </c>
      <c r="B61" s="19" t="s">
        <v>44</v>
      </c>
      <c r="C61" s="19" t="n">
        <v>1</v>
      </c>
      <c r="D61" s="26" t="n">
        <v>0.1</v>
      </c>
      <c r="E61" s="27" t="str">
        <f aca="false">IF($B61="","",IFERROR(INDEX(Products!$B$2:$B$201,MATCH($B61,Products!$A$2:$A$201,0)),"Unknown code"))</f>
        <v>Specialty coffee 250 g</v>
      </c>
      <c r="F61" s="22" t="str">
        <f aca="false">IF($B61="","",IFERROR(INDEX(Products!$C$2:$C$201,MATCH($B61,Products!$A$2:$A$201,0)),""))</f>
        <v>Coffee</v>
      </c>
      <c r="G61" s="17" t="n">
        <f aca="false">IF($B61="","",IFERROR(INDEX(Products!$D$2:$D$201,MATCH($B61,Products!$A$2:$A$201,0)),0))</f>
        <v>14</v>
      </c>
      <c r="H61" s="17" t="n">
        <f aca="false">IF($B61="","",C61*G61*(1-D61))</f>
        <v>12.6</v>
      </c>
      <c r="I61" s="17" t="n">
        <f aca="false">IF($B61="","",C61*IFERROR(INDEX(Products!$E$2:$E$201,MATCH($B61,Products!$A$2:$A$201,0)),0))</f>
        <v>6.9</v>
      </c>
      <c r="J61" s="17" t="n">
        <f aca="false">IF($B61="","",H61-I61)</f>
        <v>5.7</v>
      </c>
      <c r="K61" s="16" t="n">
        <f aca="false">IF($A61="","",DATE(YEAR($A61),MONTH($A61),1))</f>
        <v>46113</v>
      </c>
    </row>
    <row r="62" customFormat="false" ht="15" hidden="false" customHeight="false" outlineLevel="0" collapsed="false">
      <c r="A62" s="25" t="n">
        <v>46139</v>
      </c>
      <c r="B62" s="19" t="s">
        <v>56</v>
      </c>
      <c r="C62" s="19" t="n">
        <v>1</v>
      </c>
      <c r="D62" s="26" t="n">
        <v>0.05</v>
      </c>
      <c r="E62" s="27" t="str">
        <f aca="false">IF($B62="","",IFERROR(INDEX(Products!$B$2:$B$201,MATCH($B62,Products!$A$2:$A$201,0)),"Unknown code"))</f>
        <v>French press 600 ml</v>
      </c>
      <c r="F62" s="22" t="str">
        <f aca="false">IF($B62="","",IFERROR(INDEX(Products!$C$2:$C$201,MATCH($B62,Products!$A$2:$A$201,0)),""))</f>
        <v>Accessories</v>
      </c>
      <c r="G62" s="17" t="n">
        <f aca="false">IF($B62="","",IFERROR(INDEX(Products!$D$2:$D$201,MATCH($B62,Products!$A$2:$A$201,0)),0))</f>
        <v>25</v>
      </c>
      <c r="H62" s="17" t="n">
        <f aca="false">IF($B62="","",C62*G62*(1-D62))</f>
        <v>23.75</v>
      </c>
      <c r="I62" s="17" t="n">
        <f aca="false">IF($B62="","",C62*IFERROR(INDEX(Products!$E$2:$E$201,MATCH($B62,Products!$A$2:$A$201,0)),0))</f>
        <v>12.5</v>
      </c>
      <c r="J62" s="17" t="n">
        <f aca="false">IF($B62="","",H62-I62)</f>
        <v>11.25</v>
      </c>
      <c r="K62" s="16" t="n">
        <f aca="false">IF($A62="","",DATE(YEAR($A62),MONTH($A62),1))</f>
        <v>46113</v>
      </c>
    </row>
    <row r="63" customFormat="false" ht="15" hidden="false" customHeight="false" outlineLevel="0" collapsed="false">
      <c r="A63" s="25" t="n">
        <v>46142</v>
      </c>
      <c r="B63" s="19" t="s">
        <v>60</v>
      </c>
      <c r="C63" s="19" t="n">
        <v>1</v>
      </c>
      <c r="D63" s="26" t="n">
        <v>0</v>
      </c>
      <c r="E63" s="27" t="str">
        <f aca="false">IF($B63="","",IFERROR(INDEX(Products!$B$2:$B$201,MATCH($B63,Products!$A$2:$A$201,0)),"Unknown code"))</f>
        <v>Dark chocolate bar 70%</v>
      </c>
      <c r="F63" s="22" t="str">
        <f aca="false">IF($B63="","",IFERROR(INDEX(Products!$C$2:$C$201,MATCH($B63,Products!$A$2:$A$201,0)),""))</f>
        <v>Snacks</v>
      </c>
      <c r="G63" s="17" t="n">
        <f aca="false">IF($B63="","",IFERROR(INDEX(Products!$D$2:$D$201,MATCH($B63,Products!$A$2:$A$201,0)),0))</f>
        <v>3.2</v>
      </c>
      <c r="H63" s="17" t="n">
        <f aca="false">IF($B63="","",C63*G63*(1-D63))</f>
        <v>3.2</v>
      </c>
      <c r="I63" s="17" t="n">
        <f aca="false">IF($B63="","",C63*IFERROR(INDEX(Products!$E$2:$E$201,MATCH($B63,Products!$A$2:$A$201,0)),0))</f>
        <v>1.3</v>
      </c>
      <c r="J63" s="17" t="n">
        <f aca="false">IF($B63="","",H63-I63)</f>
        <v>1.9</v>
      </c>
      <c r="K63" s="16" t="n">
        <f aca="false">IF($A63="","",DATE(YEAR($A63),MONTH($A63),1))</f>
        <v>46113</v>
      </c>
    </row>
    <row r="64" customFormat="false" ht="15" hidden="false" customHeight="false" outlineLevel="0" collapsed="false">
      <c r="A64" s="25" t="n">
        <v>46145</v>
      </c>
      <c r="B64" s="19" t="s">
        <v>40</v>
      </c>
      <c r="C64" s="19" t="n">
        <v>1</v>
      </c>
      <c r="D64" s="26" t="n">
        <v>0</v>
      </c>
      <c r="E64" s="27" t="str">
        <f aca="false">IF($B64="","",IFERROR(INDEX(Products!$B$2:$B$201,MATCH($B64,Products!$A$2:$A$201,0)),"Unknown code"))</f>
        <v>Whole bean coffee 250 g</v>
      </c>
      <c r="F64" s="22" t="str">
        <f aca="false">IF($B64="","",IFERROR(INDEX(Products!$C$2:$C$201,MATCH($B64,Products!$A$2:$A$201,0)),""))</f>
        <v>Coffee</v>
      </c>
      <c r="G64" s="17" t="n">
        <f aca="false">IF($B64="","",IFERROR(INDEX(Products!$D$2:$D$201,MATCH($B64,Products!$A$2:$A$201,0)),0))</f>
        <v>9.5</v>
      </c>
      <c r="H64" s="17" t="n">
        <f aca="false">IF($B64="","",C64*G64*(1-D64))</f>
        <v>9.5</v>
      </c>
      <c r="I64" s="17" t="n">
        <f aca="false">IF($B64="","",C64*IFERROR(INDEX(Products!$E$2:$E$201,MATCH($B64,Products!$A$2:$A$201,0)),0))</f>
        <v>4.5</v>
      </c>
      <c r="J64" s="17" t="n">
        <f aca="false">IF($B64="","",H64-I64)</f>
        <v>5</v>
      </c>
      <c r="K64" s="16" t="n">
        <f aca="false">IF($A64="","",DATE(YEAR($A64),MONTH($A64),1))</f>
        <v>46143</v>
      </c>
    </row>
    <row r="65" customFormat="false" ht="15" hidden="false" customHeight="false" outlineLevel="0" collapsed="false">
      <c r="A65" s="25" t="n">
        <v>46147</v>
      </c>
      <c r="B65" s="19" t="s">
        <v>58</v>
      </c>
      <c r="C65" s="19" t="n">
        <v>2</v>
      </c>
      <c r="D65" s="26" t="n">
        <v>0.1</v>
      </c>
      <c r="E65" s="27" t="str">
        <f aca="false">IF($B65="","",IFERROR(INDEX(Products!$B$2:$B$201,MATCH($B65,Products!$A$2:$A$201,0)),"Unknown code"))</f>
        <v>Oat cookies (6 pcs)</v>
      </c>
      <c r="F65" s="22" t="str">
        <f aca="false">IF($B65="","",IFERROR(INDEX(Products!$C$2:$C$201,MATCH($B65,Products!$A$2:$A$201,0)),""))</f>
        <v>Snacks</v>
      </c>
      <c r="G65" s="17" t="n">
        <f aca="false">IF($B65="","",IFERROR(INDEX(Products!$D$2:$D$201,MATCH($B65,Products!$A$2:$A$201,0)),0))</f>
        <v>3.8</v>
      </c>
      <c r="H65" s="17" t="n">
        <f aca="false">IF($B65="","",C65*G65*(1-D65))</f>
        <v>6.84</v>
      </c>
      <c r="I65" s="17" t="n">
        <f aca="false">IF($B65="","",C65*IFERROR(INDEX(Products!$E$2:$E$201,MATCH($B65,Products!$A$2:$A$201,0)),0))</f>
        <v>2.8</v>
      </c>
      <c r="J65" s="17" t="n">
        <f aca="false">IF($B65="","",H65-I65)</f>
        <v>4.04</v>
      </c>
      <c r="K65" s="16" t="n">
        <f aca="false">IF($A65="","",DATE(YEAR($A65),MONTH($A65),1))</f>
        <v>46143</v>
      </c>
    </row>
    <row r="66" customFormat="false" ht="15" hidden="false" customHeight="false" outlineLevel="0" collapsed="false">
      <c r="A66" s="25" t="n">
        <v>46155</v>
      </c>
      <c r="B66" s="19" t="s">
        <v>48</v>
      </c>
      <c r="C66" s="19" t="n">
        <v>1</v>
      </c>
      <c r="D66" s="26" t="n">
        <v>0</v>
      </c>
      <c r="E66" s="27" t="str">
        <f aca="false">IF($B66="","",IFERROR(INDEX(Products!$B$2:$B$201,MATCH($B66,Products!$A$2:$A$201,0)),"Unknown code"))</f>
        <v>Chai tea 50 g</v>
      </c>
      <c r="F66" s="22" t="str">
        <f aca="false">IF($B66="","",IFERROR(INDEX(Products!$C$2:$C$201,MATCH($B66,Products!$A$2:$A$201,0)),""))</f>
        <v>Tea</v>
      </c>
      <c r="G66" s="17" t="n">
        <f aca="false">IF($B66="","",IFERROR(INDEX(Products!$D$2:$D$201,MATCH($B66,Products!$A$2:$A$201,0)),0))</f>
        <v>6.5</v>
      </c>
      <c r="H66" s="17" t="n">
        <f aca="false">IF($B66="","",C66*G66*(1-D66))</f>
        <v>6.5</v>
      </c>
      <c r="I66" s="17" t="n">
        <f aca="false">IF($B66="","",C66*IFERROR(INDEX(Products!$E$2:$E$201,MATCH($B66,Products!$A$2:$A$201,0)),0))</f>
        <v>2.6</v>
      </c>
      <c r="J66" s="17" t="n">
        <f aca="false">IF($B66="","",H66-I66)</f>
        <v>3.9</v>
      </c>
      <c r="K66" s="16" t="n">
        <f aca="false">IF($A66="","",DATE(YEAR($A66),MONTH($A66),1))</f>
        <v>46143</v>
      </c>
    </row>
    <row r="67" customFormat="false" ht="15" hidden="false" customHeight="false" outlineLevel="0" collapsed="false">
      <c r="A67" s="25" t="n">
        <v>46159</v>
      </c>
      <c r="B67" s="19" t="s">
        <v>56</v>
      </c>
      <c r="C67" s="19" t="n">
        <v>3</v>
      </c>
      <c r="D67" s="26" t="n">
        <v>0</v>
      </c>
      <c r="E67" s="27" t="str">
        <f aca="false">IF($B67="","",IFERROR(INDEX(Products!$B$2:$B$201,MATCH($B67,Products!$A$2:$A$201,0)),"Unknown code"))</f>
        <v>French press 600 ml</v>
      </c>
      <c r="F67" s="22" t="str">
        <f aca="false">IF($B67="","",IFERROR(INDEX(Products!$C$2:$C$201,MATCH($B67,Products!$A$2:$A$201,0)),""))</f>
        <v>Accessories</v>
      </c>
      <c r="G67" s="17" t="n">
        <f aca="false">IF($B67="","",IFERROR(INDEX(Products!$D$2:$D$201,MATCH($B67,Products!$A$2:$A$201,0)),0))</f>
        <v>25</v>
      </c>
      <c r="H67" s="17" t="n">
        <f aca="false">IF($B67="","",C67*G67*(1-D67))</f>
        <v>75</v>
      </c>
      <c r="I67" s="17" t="n">
        <f aca="false">IF($B67="","",C67*IFERROR(INDEX(Products!$E$2:$E$201,MATCH($B67,Products!$A$2:$A$201,0)),0))</f>
        <v>37.5</v>
      </c>
      <c r="J67" s="17" t="n">
        <f aca="false">IF($B67="","",H67-I67)</f>
        <v>37.5</v>
      </c>
      <c r="K67" s="16" t="n">
        <f aca="false">IF($A67="","",DATE(YEAR($A67),MONTH($A67),1))</f>
        <v>46143</v>
      </c>
    </row>
    <row r="68" customFormat="false" ht="15" hidden="false" customHeight="false" outlineLevel="0" collapsed="false">
      <c r="A68" s="25" t="n">
        <v>46161</v>
      </c>
      <c r="B68" s="19" t="s">
        <v>62</v>
      </c>
      <c r="C68" s="19" t="n">
        <v>3</v>
      </c>
      <c r="D68" s="26" t="n">
        <v>0</v>
      </c>
      <c r="E68" s="27" t="str">
        <f aca="false">IF($B68="","",IFERROR(INDEX(Products!$B$2:$B$201,MATCH($B68,Products!$A$2:$A$201,0)),"Unknown code"))</f>
        <v>Granola 300 g</v>
      </c>
      <c r="F68" s="22" t="str">
        <f aca="false">IF($B68="","",IFERROR(INDEX(Products!$C$2:$C$201,MATCH($B68,Products!$A$2:$A$201,0)),""))</f>
        <v>Snacks</v>
      </c>
      <c r="G68" s="17" t="n">
        <f aca="false">IF($B68="","",IFERROR(INDEX(Products!$D$2:$D$201,MATCH($B68,Products!$A$2:$A$201,0)),0))</f>
        <v>7</v>
      </c>
      <c r="H68" s="17" t="n">
        <f aca="false">IF($B68="","",C68*G68*(1-D68))</f>
        <v>21</v>
      </c>
      <c r="I68" s="17" t="n">
        <f aca="false">IF($B68="","",C68*IFERROR(INDEX(Products!$E$2:$E$201,MATCH($B68,Products!$A$2:$A$201,0)),0))</f>
        <v>8.7</v>
      </c>
      <c r="J68" s="17" t="n">
        <f aca="false">IF($B68="","",H68-I68)</f>
        <v>12.3</v>
      </c>
      <c r="K68" s="16" t="n">
        <f aca="false">IF($A68="","",DATE(YEAR($A68),MONTH($A68),1))</f>
        <v>46143</v>
      </c>
    </row>
    <row r="69" customFormat="false" ht="15" hidden="false" customHeight="false" outlineLevel="0" collapsed="false">
      <c r="A69" s="25" t="n">
        <v>46161</v>
      </c>
      <c r="B69" s="19" t="s">
        <v>60</v>
      </c>
      <c r="C69" s="19" t="n">
        <v>1</v>
      </c>
      <c r="D69" s="26" t="n">
        <v>0</v>
      </c>
      <c r="E69" s="27" t="str">
        <f aca="false">IF($B69="","",IFERROR(INDEX(Products!$B$2:$B$201,MATCH($B69,Products!$A$2:$A$201,0)),"Unknown code"))</f>
        <v>Dark chocolate bar 70%</v>
      </c>
      <c r="F69" s="22" t="str">
        <f aca="false">IF($B69="","",IFERROR(INDEX(Products!$C$2:$C$201,MATCH($B69,Products!$A$2:$A$201,0)),""))</f>
        <v>Snacks</v>
      </c>
      <c r="G69" s="17" t="n">
        <f aca="false">IF($B69="","",IFERROR(INDEX(Products!$D$2:$D$201,MATCH($B69,Products!$A$2:$A$201,0)),0))</f>
        <v>3.2</v>
      </c>
      <c r="H69" s="17" t="n">
        <f aca="false">IF($B69="","",C69*G69*(1-D69))</f>
        <v>3.2</v>
      </c>
      <c r="I69" s="17" t="n">
        <f aca="false">IF($B69="","",C69*IFERROR(INDEX(Products!$E$2:$E$201,MATCH($B69,Products!$A$2:$A$201,0)),0))</f>
        <v>1.3</v>
      </c>
      <c r="J69" s="17" t="n">
        <f aca="false">IF($B69="","",H69-I69)</f>
        <v>1.9</v>
      </c>
      <c r="K69" s="16" t="n">
        <f aca="false">IF($A69="","",DATE(YEAR($A69),MONTH($A69),1))</f>
        <v>46143</v>
      </c>
    </row>
    <row r="70" customFormat="false" ht="15" hidden="false" customHeight="false" outlineLevel="0" collapsed="false">
      <c r="A70" s="25" t="n">
        <v>46163</v>
      </c>
      <c r="B70" s="19" t="s">
        <v>40</v>
      </c>
      <c r="C70" s="19" t="n">
        <v>3</v>
      </c>
      <c r="D70" s="26" t="n">
        <v>0</v>
      </c>
      <c r="E70" s="27" t="str">
        <f aca="false">IF($B70="","",IFERROR(INDEX(Products!$B$2:$B$201,MATCH($B70,Products!$A$2:$A$201,0)),"Unknown code"))</f>
        <v>Whole bean coffee 250 g</v>
      </c>
      <c r="F70" s="22" t="str">
        <f aca="false">IF($B70="","",IFERROR(INDEX(Products!$C$2:$C$201,MATCH($B70,Products!$A$2:$A$201,0)),""))</f>
        <v>Coffee</v>
      </c>
      <c r="G70" s="17" t="n">
        <f aca="false">IF($B70="","",IFERROR(INDEX(Products!$D$2:$D$201,MATCH($B70,Products!$A$2:$A$201,0)),0))</f>
        <v>9.5</v>
      </c>
      <c r="H70" s="17" t="n">
        <f aca="false">IF($B70="","",C70*G70*(1-D70))</f>
        <v>28.5</v>
      </c>
      <c r="I70" s="17" t="n">
        <f aca="false">IF($B70="","",C70*IFERROR(INDEX(Products!$E$2:$E$201,MATCH($B70,Products!$A$2:$A$201,0)),0))</f>
        <v>13.5</v>
      </c>
      <c r="J70" s="17" t="n">
        <f aca="false">IF($B70="","",H70-I70)</f>
        <v>15</v>
      </c>
      <c r="K70" s="16" t="n">
        <f aca="false">IF($A70="","",DATE(YEAR($A70),MONTH($A70),1))</f>
        <v>46143</v>
      </c>
    </row>
    <row r="71" customFormat="false" ht="15" hidden="false" customHeight="false" outlineLevel="0" collapsed="false">
      <c r="A71" s="25" t="n">
        <v>46163</v>
      </c>
      <c r="B71" s="19" t="s">
        <v>58</v>
      </c>
      <c r="C71" s="19" t="n">
        <v>2</v>
      </c>
      <c r="D71" s="26" t="n">
        <v>0.1</v>
      </c>
      <c r="E71" s="27" t="str">
        <f aca="false">IF($B71="","",IFERROR(INDEX(Products!$B$2:$B$201,MATCH($B71,Products!$A$2:$A$201,0)),"Unknown code"))</f>
        <v>Oat cookies (6 pcs)</v>
      </c>
      <c r="F71" s="22" t="str">
        <f aca="false">IF($B71="","",IFERROR(INDEX(Products!$C$2:$C$201,MATCH($B71,Products!$A$2:$A$201,0)),""))</f>
        <v>Snacks</v>
      </c>
      <c r="G71" s="17" t="n">
        <f aca="false">IF($B71="","",IFERROR(INDEX(Products!$D$2:$D$201,MATCH($B71,Products!$A$2:$A$201,0)),0))</f>
        <v>3.8</v>
      </c>
      <c r="H71" s="17" t="n">
        <f aca="false">IF($B71="","",C71*G71*(1-D71))</f>
        <v>6.84</v>
      </c>
      <c r="I71" s="17" t="n">
        <f aca="false">IF($B71="","",C71*IFERROR(INDEX(Products!$E$2:$E$201,MATCH($B71,Products!$A$2:$A$201,0)),0))</f>
        <v>2.8</v>
      </c>
      <c r="J71" s="17" t="n">
        <f aca="false">IF($B71="","",H71-I71)</f>
        <v>4.04</v>
      </c>
      <c r="K71" s="16" t="n">
        <f aca="false">IF($A71="","",DATE(YEAR($A71),MONTH($A71),1))</f>
        <v>46143</v>
      </c>
    </row>
    <row r="72" customFormat="false" ht="15" hidden="false" customHeight="false" outlineLevel="0" collapsed="false">
      <c r="A72" s="25" t="n">
        <v>46165</v>
      </c>
      <c r="B72" s="19" t="s">
        <v>42</v>
      </c>
      <c r="C72" s="19" t="n">
        <v>3</v>
      </c>
      <c r="D72" s="26" t="n">
        <v>0</v>
      </c>
      <c r="E72" s="27" t="str">
        <f aca="false">IF($B72="","",IFERROR(INDEX(Products!$B$2:$B$201,MATCH($B72,Products!$A$2:$A$201,0)),"Unknown code"))</f>
        <v>Ground coffee 500 g</v>
      </c>
      <c r="F72" s="22" t="str">
        <f aca="false">IF($B72="","",IFERROR(INDEX(Products!$C$2:$C$201,MATCH($B72,Products!$A$2:$A$201,0)),""))</f>
        <v>Coffee</v>
      </c>
      <c r="G72" s="17" t="n">
        <f aca="false">IF($B72="","",IFERROR(INDEX(Products!$D$2:$D$201,MATCH($B72,Products!$A$2:$A$201,0)),0))</f>
        <v>16</v>
      </c>
      <c r="H72" s="17" t="n">
        <f aca="false">IF($B72="","",C72*G72*(1-D72))</f>
        <v>48</v>
      </c>
      <c r="I72" s="17" t="n">
        <f aca="false">IF($B72="","",C72*IFERROR(INDEX(Products!$E$2:$E$201,MATCH($B72,Products!$A$2:$A$201,0)),0))</f>
        <v>23.4</v>
      </c>
      <c r="J72" s="17" t="n">
        <f aca="false">IF($B72="","",H72-I72)</f>
        <v>24.6</v>
      </c>
      <c r="K72" s="16" t="n">
        <f aca="false">IF($A72="","",DATE(YEAR($A72),MONTH($A72),1))</f>
        <v>46143</v>
      </c>
    </row>
    <row r="73" customFormat="false" ht="15" hidden="false" customHeight="false" outlineLevel="0" collapsed="false">
      <c r="A73" s="25" t="n">
        <v>46171</v>
      </c>
      <c r="B73" s="19" t="s">
        <v>42</v>
      </c>
      <c r="C73" s="19" t="n">
        <v>2</v>
      </c>
      <c r="D73" s="26" t="n">
        <v>0</v>
      </c>
      <c r="E73" s="27" t="str">
        <f aca="false">IF($B73="","",IFERROR(INDEX(Products!$B$2:$B$201,MATCH($B73,Products!$A$2:$A$201,0)),"Unknown code"))</f>
        <v>Ground coffee 500 g</v>
      </c>
      <c r="F73" s="22" t="str">
        <f aca="false">IF($B73="","",IFERROR(INDEX(Products!$C$2:$C$201,MATCH($B73,Products!$A$2:$A$201,0)),""))</f>
        <v>Coffee</v>
      </c>
      <c r="G73" s="17" t="n">
        <f aca="false">IF($B73="","",IFERROR(INDEX(Products!$D$2:$D$201,MATCH($B73,Products!$A$2:$A$201,0)),0))</f>
        <v>16</v>
      </c>
      <c r="H73" s="17" t="n">
        <f aca="false">IF($B73="","",C73*G73*(1-D73))</f>
        <v>32</v>
      </c>
      <c r="I73" s="17" t="n">
        <f aca="false">IF($B73="","",C73*IFERROR(INDEX(Products!$E$2:$E$201,MATCH($B73,Products!$A$2:$A$201,0)),0))</f>
        <v>15.6</v>
      </c>
      <c r="J73" s="17" t="n">
        <f aca="false">IF($B73="","",H73-I73)</f>
        <v>16.4</v>
      </c>
      <c r="K73" s="16" t="n">
        <f aca="false">IF($A73="","",DATE(YEAR($A73),MONTH($A73),1))</f>
        <v>46143</v>
      </c>
    </row>
    <row r="74" customFormat="false" ht="15" hidden="false" customHeight="false" outlineLevel="0" collapsed="false">
      <c r="A74" s="25" t="n">
        <v>46173</v>
      </c>
      <c r="B74" s="19" t="s">
        <v>42</v>
      </c>
      <c r="C74" s="19" t="n">
        <v>3</v>
      </c>
      <c r="D74" s="26" t="n">
        <v>0</v>
      </c>
      <c r="E74" s="27" t="str">
        <f aca="false">IF($B74="","",IFERROR(INDEX(Products!$B$2:$B$201,MATCH($B74,Products!$A$2:$A$201,0)),"Unknown code"))</f>
        <v>Ground coffee 500 g</v>
      </c>
      <c r="F74" s="22" t="str">
        <f aca="false">IF($B74="","",IFERROR(INDEX(Products!$C$2:$C$201,MATCH($B74,Products!$A$2:$A$201,0)),""))</f>
        <v>Coffee</v>
      </c>
      <c r="G74" s="17" t="n">
        <f aca="false">IF($B74="","",IFERROR(INDEX(Products!$D$2:$D$201,MATCH($B74,Products!$A$2:$A$201,0)),0))</f>
        <v>16</v>
      </c>
      <c r="H74" s="17" t="n">
        <f aca="false">IF($B74="","",C74*G74*(1-D74))</f>
        <v>48</v>
      </c>
      <c r="I74" s="17" t="n">
        <f aca="false">IF($B74="","",C74*IFERROR(INDEX(Products!$E$2:$E$201,MATCH($B74,Products!$A$2:$A$201,0)),0))</f>
        <v>23.4</v>
      </c>
      <c r="J74" s="17" t="n">
        <f aca="false">IF($B74="","",H74-I74)</f>
        <v>24.6</v>
      </c>
      <c r="K74" s="16" t="n">
        <f aca="false">IF($A74="","",DATE(YEAR($A74),MONTH($A74),1))</f>
        <v>46143</v>
      </c>
    </row>
    <row r="75" customFormat="false" ht="15" hidden="false" customHeight="false" outlineLevel="0" collapsed="false">
      <c r="A75" s="25" t="n">
        <v>46176</v>
      </c>
      <c r="B75" s="19" t="s">
        <v>44</v>
      </c>
      <c r="C75" s="19" t="n">
        <v>1</v>
      </c>
      <c r="D75" s="26" t="n">
        <v>0</v>
      </c>
      <c r="E75" s="27" t="str">
        <f aca="false">IF($B75="","",IFERROR(INDEX(Products!$B$2:$B$201,MATCH($B75,Products!$A$2:$A$201,0)),"Unknown code"))</f>
        <v>Specialty coffee 250 g</v>
      </c>
      <c r="F75" s="22" t="str">
        <f aca="false">IF($B75="","",IFERROR(INDEX(Products!$C$2:$C$201,MATCH($B75,Products!$A$2:$A$201,0)),""))</f>
        <v>Coffee</v>
      </c>
      <c r="G75" s="17" t="n">
        <f aca="false">IF($B75="","",IFERROR(INDEX(Products!$D$2:$D$201,MATCH($B75,Products!$A$2:$A$201,0)),0))</f>
        <v>14</v>
      </c>
      <c r="H75" s="17" t="n">
        <f aca="false">IF($B75="","",C75*G75*(1-D75))</f>
        <v>14</v>
      </c>
      <c r="I75" s="17" t="n">
        <f aca="false">IF($B75="","",C75*IFERROR(INDEX(Products!$E$2:$E$201,MATCH($B75,Products!$A$2:$A$201,0)),0))</f>
        <v>6.9</v>
      </c>
      <c r="J75" s="17" t="n">
        <f aca="false">IF($B75="","",H75-I75)</f>
        <v>7.1</v>
      </c>
      <c r="K75" s="16" t="n">
        <f aca="false">IF($A75="","",DATE(YEAR($A75),MONTH($A75),1))</f>
        <v>46174</v>
      </c>
    </row>
    <row r="76" customFormat="false" ht="15" hidden="false" customHeight="false" outlineLevel="0" collapsed="false">
      <c r="A76" s="25" t="n">
        <v>46178</v>
      </c>
      <c r="B76" s="19" t="s">
        <v>56</v>
      </c>
      <c r="C76" s="19" t="n">
        <v>2</v>
      </c>
      <c r="D76" s="26" t="n">
        <v>0</v>
      </c>
      <c r="E76" s="27" t="str">
        <f aca="false">IF($B76="","",IFERROR(INDEX(Products!$B$2:$B$201,MATCH($B76,Products!$A$2:$A$201,0)),"Unknown code"))</f>
        <v>French press 600 ml</v>
      </c>
      <c r="F76" s="22" t="str">
        <f aca="false">IF($B76="","",IFERROR(INDEX(Products!$C$2:$C$201,MATCH($B76,Products!$A$2:$A$201,0)),""))</f>
        <v>Accessories</v>
      </c>
      <c r="G76" s="17" t="n">
        <f aca="false">IF($B76="","",IFERROR(INDEX(Products!$D$2:$D$201,MATCH($B76,Products!$A$2:$A$201,0)),0))</f>
        <v>25</v>
      </c>
      <c r="H76" s="17" t="n">
        <f aca="false">IF($B76="","",C76*G76*(1-D76))</f>
        <v>50</v>
      </c>
      <c r="I76" s="17" t="n">
        <f aca="false">IF($B76="","",C76*IFERROR(INDEX(Products!$E$2:$E$201,MATCH($B76,Products!$A$2:$A$201,0)),0))</f>
        <v>25</v>
      </c>
      <c r="J76" s="17" t="n">
        <f aca="false">IF($B76="","",H76-I76)</f>
        <v>25</v>
      </c>
      <c r="K76" s="16" t="n">
        <f aca="false">IF($A76="","",DATE(YEAR($A76),MONTH($A76),1))</f>
        <v>46174</v>
      </c>
    </row>
    <row r="77" customFormat="false" ht="15" hidden="false" customHeight="false" outlineLevel="0" collapsed="false">
      <c r="A77" s="25" t="n">
        <v>46178</v>
      </c>
      <c r="B77" s="19" t="s">
        <v>60</v>
      </c>
      <c r="C77" s="19" t="n">
        <v>1</v>
      </c>
      <c r="D77" s="26" t="n">
        <v>0</v>
      </c>
      <c r="E77" s="27" t="str">
        <f aca="false">IF($B77="","",IFERROR(INDEX(Products!$B$2:$B$201,MATCH($B77,Products!$A$2:$A$201,0)),"Unknown code"))</f>
        <v>Dark chocolate bar 70%</v>
      </c>
      <c r="F77" s="22" t="str">
        <f aca="false">IF($B77="","",IFERROR(INDEX(Products!$C$2:$C$201,MATCH($B77,Products!$A$2:$A$201,0)),""))</f>
        <v>Snacks</v>
      </c>
      <c r="G77" s="17" t="n">
        <f aca="false">IF($B77="","",IFERROR(INDEX(Products!$D$2:$D$201,MATCH($B77,Products!$A$2:$A$201,0)),0))</f>
        <v>3.2</v>
      </c>
      <c r="H77" s="17" t="n">
        <f aca="false">IF($B77="","",C77*G77*(1-D77))</f>
        <v>3.2</v>
      </c>
      <c r="I77" s="17" t="n">
        <f aca="false">IF($B77="","",C77*IFERROR(INDEX(Products!$E$2:$E$201,MATCH($B77,Products!$A$2:$A$201,0)),0))</f>
        <v>1.3</v>
      </c>
      <c r="J77" s="17" t="n">
        <f aca="false">IF($B77="","",H77-I77)</f>
        <v>1.9</v>
      </c>
      <c r="K77" s="16" t="n">
        <f aca="false">IF($A77="","",DATE(YEAR($A77),MONTH($A77),1))</f>
        <v>46174</v>
      </c>
    </row>
    <row r="78" customFormat="false" ht="15" hidden="false" customHeight="false" outlineLevel="0" collapsed="false">
      <c r="A78" s="25" t="n">
        <v>46180</v>
      </c>
      <c r="B78" s="19" t="s">
        <v>40</v>
      </c>
      <c r="C78" s="19" t="n">
        <v>2</v>
      </c>
      <c r="D78" s="26" t="n">
        <v>0</v>
      </c>
      <c r="E78" s="27" t="str">
        <f aca="false">IF($B78="","",IFERROR(INDEX(Products!$B$2:$B$201,MATCH($B78,Products!$A$2:$A$201,0)),"Unknown code"))</f>
        <v>Whole bean coffee 250 g</v>
      </c>
      <c r="F78" s="22" t="str">
        <f aca="false">IF($B78="","",IFERROR(INDEX(Products!$C$2:$C$201,MATCH($B78,Products!$A$2:$A$201,0)),""))</f>
        <v>Coffee</v>
      </c>
      <c r="G78" s="17" t="n">
        <f aca="false">IF($B78="","",IFERROR(INDEX(Products!$D$2:$D$201,MATCH($B78,Products!$A$2:$A$201,0)),0))</f>
        <v>9.5</v>
      </c>
      <c r="H78" s="17" t="n">
        <f aca="false">IF($B78="","",C78*G78*(1-D78))</f>
        <v>19</v>
      </c>
      <c r="I78" s="17" t="n">
        <f aca="false">IF($B78="","",C78*IFERROR(INDEX(Products!$E$2:$E$201,MATCH($B78,Products!$A$2:$A$201,0)),0))</f>
        <v>9</v>
      </c>
      <c r="J78" s="17" t="n">
        <f aca="false">IF($B78="","",H78-I78)</f>
        <v>10</v>
      </c>
      <c r="K78" s="16" t="n">
        <f aca="false">IF($A78="","",DATE(YEAR($A78),MONTH($A78),1))</f>
        <v>46174</v>
      </c>
    </row>
    <row r="79" customFormat="false" ht="15" hidden="false" customHeight="false" outlineLevel="0" collapsed="false">
      <c r="A79" s="25" t="n">
        <v>46182</v>
      </c>
      <c r="B79" s="19" t="s">
        <v>48</v>
      </c>
      <c r="C79" s="19" t="n">
        <v>2</v>
      </c>
      <c r="D79" s="26" t="n">
        <v>0</v>
      </c>
      <c r="E79" s="27" t="str">
        <f aca="false">IF($B79="","",IFERROR(INDEX(Products!$B$2:$B$201,MATCH($B79,Products!$A$2:$A$201,0)),"Unknown code"))</f>
        <v>Chai tea 50 g</v>
      </c>
      <c r="F79" s="22" t="str">
        <f aca="false">IF($B79="","",IFERROR(INDEX(Products!$C$2:$C$201,MATCH($B79,Products!$A$2:$A$201,0)),""))</f>
        <v>Tea</v>
      </c>
      <c r="G79" s="17" t="n">
        <f aca="false">IF($B79="","",IFERROR(INDEX(Products!$D$2:$D$201,MATCH($B79,Products!$A$2:$A$201,0)),0))</f>
        <v>6.5</v>
      </c>
      <c r="H79" s="17" t="n">
        <f aca="false">IF($B79="","",C79*G79*(1-D79))</f>
        <v>13</v>
      </c>
      <c r="I79" s="17" t="n">
        <f aca="false">IF($B79="","",C79*IFERROR(INDEX(Products!$E$2:$E$201,MATCH($B79,Products!$A$2:$A$201,0)),0))</f>
        <v>5.2</v>
      </c>
      <c r="J79" s="17" t="n">
        <f aca="false">IF($B79="","",H79-I79)</f>
        <v>7.8</v>
      </c>
      <c r="K79" s="16" t="n">
        <f aca="false">IF($A79="","",DATE(YEAR($A79),MONTH($A79),1))</f>
        <v>46174</v>
      </c>
    </row>
    <row r="80" customFormat="false" ht="15" hidden="false" customHeight="false" outlineLevel="0" collapsed="false">
      <c r="A80" s="25" t="n">
        <v>46185</v>
      </c>
      <c r="B80" s="19" t="s">
        <v>42</v>
      </c>
      <c r="C80" s="19" t="n">
        <v>3</v>
      </c>
      <c r="D80" s="26" t="n">
        <v>0</v>
      </c>
      <c r="E80" s="27" t="str">
        <f aca="false">IF($B80="","",IFERROR(INDEX(Products!$B$2:$B$201,MATCH($B80,Products!$A$2:$A$201,0)),"Unknown code"))</f>
        <v>Ground coffee 500 g</v>
      </c>
      <c r="F80" s="22" t="str">
        <f aca="false">IF($B80="","",IFERROR(INDEX(Products!$C$2:$C$201,MATCH($B80,Products!$A$2:$A$201,0)),""))</f>
        <v>Coffee</v>
      </c>
      <c r="G80" s="17" t="n">
        <f aca="false">IF($B80="","",IFERROR(INDEX(Products!$D$2:$D$201,MATCH($B80,Products!$A$2:$A$201,0)),0))</f>
        <v>16</v>
      </c>
      <c r="H80" s="17" t="n">
        <f aca="false">IF($B80="","",C80*G80*(1-D80))</f>
        <v>48</v>
      </c>
      <c r="I80" s="17" t="n">
        <f aca="false">IF($B80="","",C80*IFERROR(INDEX(Products!$E$2:$E$201,MATCH($B80,Products!$A$2:$A$201,0)),0))</f>
        <v>23.4</v>
      </c>
      <c r="J80" s="17" t="n">
        <f aca="false">IF($B80="","",H80-I80)</f>
        <v>24.6</v>
      </c>
      <c r="K80" s="16" t="n">
        <f aca="false">IF($A80="","",DATE(YEAR($A80),MONTH($A80),1))</f>
        <v>46174</v>
      </c>
    </row>
    <row r="81" customFormat="false" ht="15" hidden="false" customHeight="false" outlineLevel="0" collapsed="false">
      <c r="A81" s="25" t="n">
        <v>46186</v>
      </c>
      <c r="B81" s="19" t="s">
        <v>46</v>
      </c>
      <c r="C81" s="19" t="n">
        <v>1</v>
      </c>
      <c r="D81" s="26" t="n">
        <v>0.1</v>
      </c>
      <c r="E81" s="27" t="str">
        <f aca="false">IF($B81="","",IFERROR(INDEX(Products!$B$2:$B$201,MATCH($B81,Products!$A$2:$A$201,0)),"Unknown code"))</f>
        <v>Green tea 50 g</v>
      </c>
      <c r="F81" s="22" t="str">
        <f aca="false">IF($B81="","",IFERROR(INDEX(Products!$C$2:$C$201,MATCH($B81,Products!$A$2:$A$201,0)),""))</f>
        <v>Tea</v>
      </c>
      <c r="G81" s="17" t="n">
        <f aca="false">IF($B81="","",IFERROR(INDEX(Products!$D$2:$D$201,MATCH($B81,Products!$A$2:$A$201,0)),0))</f>
        <v>5.5</v>
      </c>
      <c r="H81" s="17" t="n">
        <f aca="false">IF($B81="","",C81*G81*(1-D81))</f>
        <v>4.95</v>
      </c>
      <c r="I81" s="17" t="n">
        <f aca="false">IF($B81="","",C81*IFERROR(INDEX(Products!$E$2:$E$201,MATCH($B81,Products!$A$2:$A$201,0)),0))</f>
        <v>2.2</v>
      </c>
      <c r="J81" s="17" t="n">
        <f aca="false">IF($B81="","",H81-I81)</f>
        <v>2.75</v>
      </c>
      <c r="K81" s="16" t="n">
        <f aca="false">IF($A81="","",DATE(YEAR($A81),MONTH($A81),1))</f>
        <v>46174</v>
      </c>
    </row>
    <row r="82" customFormat="false" ht="15" hidden="false" customHeight="false" outlineLevel="0" collapsed="false">
      <c r="A82" s="25" t="n">
        <v>46188</v>
      </c>
      <c r="B82" s="19" t="s">
        <v>56</v>
      </c>
      <c r="C82" s="19" t="n">
        <v>1</v>
      </c>
      <c r="D82" s="26" t="n">
        <v>0.1</v>
      </c>
      <c r="E82" s="27" t="str">
        <f aca="false">IF($B82="","",IFERROR(INDEX(Products!$B$2:$B$201,MATCH($B82,Products!$A$2:$A$201,0)),"Unknown code"))</f>
        <v>French press 600 ml</v>
      </c>
      <c r="F82" s="22" t="str">
        <f aca="false">IF($B82="","",IFERROR(INDEX(Products!$C$2:$C$201,MATCH($B82,Products!$A$2:$A$201,0)),""))</f>
        <v>Accessories</v>
      </c>
      <c r="G82" s="17" t="n">
        <f aca="false">IF($B82="","",IFERROR(INDEX(Products!$D$2:$D$201,MATCH($B82,Products!$A$2:$A$201,0)),0))</f>
        <v>25</v>
      </c>
      <c r="H82" s="17" t="n">
        <f aca="false">IF($B82="","",C82*G82*(1-D82))</f>
        <v>22.5</v>
      </c>
      <c r="I82" s="17" t="n">
        <f aca="false">IF($B82="","",C82*IFERROR(INDEX(Products!$E$2:$E$201,MATCH($B82,Products!$A$2:$A$201,0)),0))</f>
        <v>12.5</v>
      </c>
      <c r="J82" s="17" t="n">
        <f aca="false">IF($B82="","",H82-I82)</f>
        <v>10</v>
      </c>
      <c r="K82" s="16" t="n">
        <f aca="false">IF($A82="","",DATE(YEAR($A82),MONTH($A82),1))</f>
        <v>46174</v>
      </c>
    </row>
    <row r="83" customFormat="false" ht="15" hidden="false" customHeight="false" outlineLevel="0" collapsed="false">
      <c r="A83" s="25" t="n">
        <v>46190</v>
      </c>
      <c r="B83" s="19" t="s">
        <v>56</v>
      </c>
      <c r="C83" s="19" t="n">
        <v>1</v>
      </c>
      <c r="D83" s="26" t="n">
        <v>0</v>
      </c>
      <c r="E83" s="27" t="str">
        <f aca="false">IF($B83="","",IFERROR(INDEX(Products!$B$2:$B$201,MATCH($B83,Products!$A$2:$A$201,0)),"Unknown code"))</f>
        <v>French press 600 ml</v>
      </c>
      <c r="F83" s="22" t="str">
        <f aca="false">IF($B83="","",IFERROR(INDEX(Products!$C$2:$C$201,MATCH($B83,Products!$A$2:$A$201,0)),""))</f>
        <v>Accessories</v>
      </c>
      <c r="G83" s="17" t="n">
        <f aca="false">IF($B83="","",IFERROR(INDEX(Products!$D$2:$D$201,MATCH($B83,Products!$A$2:$A$201,0)),0))</f>
        <v>25</v>
      </c>
      <c r="H83" s="17" t="n">
        <f aca="false">IF($B83="","",C83*G83*(1-D83))</f>
        <v>25</v>
      </c>
      <c r="I83" s="17" t="n">
        <f aca="false">IF($B83="","",C83*IFERROR(INDEX(Products!$E$2:$E$201,MATCH($B83,Products!$A$2:$A$201,0)),0))</f>
        <v>12.5</v>
      </c>
      <c r="J83" s="17" t="n">
        <f aca="false">IF($B83="","",H83-I83)</f>
        <v>12.5</v>
      </c>
      <c r="K83" s="16" t="n">
        <f aca="false">IF($A83="","",DATE(YEAR($A83),MONTH($A83),1))</f>
        <v>46174</v>
      </c>
    </row>
    <row r="84" customFormat="false" ht="15" hidden="false" customHeight="false" outlineLevel="0" collapsed="false">
      <c r="A84" s="25" t="n">
        <v>46192</v>
      </c>
      <c r="B84" s="19" t="s">
        <v>42</v>
      </c>
      <c r="C84" s="19" t="n">
        <v>3</v>
      </c>
      <c r="D84" s="26" t="n">
        <v>0</v>
      </c>
      <c r="E84" s="27" t="str">
        <f aca="false">IF($B84="","",IFERROR(INDEX(Products!$B$2:$B$201,MATCH($B84,Products!$A$2:$A$201,0)),"Unknown code"))</f>
        <v>Ground coffee 500 g</v>
      </c>
      <c r="F84" s="22" t="str">
        <f aca="false">IF($B84="","",IFERROR(INDEX(Products!$C$2:$C$201,MATCH($B84,Products!$A$2:$A$201,0)),""))</f>
        <v>Coffee</v>
      </c>
      <c r="G84" s="17" t="n">
        <f aca="false">IF($B84="","",IFERROR(INDEX(Products!$D$2:$D$201,MATCH($B84,Products!$A$2:$A$201,0)),0))</f>
        <v>16</v>
      </c>
      <c r="H84" s="17" t="n">
        <f aca="false">IF($B84="","",C84*G84*(1-D84))</f>
        <v>48</v>
      </c>
      <c r="I84" s="17" t="n">
        <f aca="false">IF($B84="","",C84*IFERROR(INDEX(Products!$E$2:$E$201,MATCH($B84,Products!$A$2:$A$201,0)),0))</f>
        <v>23.4</v>
      </c>
      <c r="J84" s="17" t="n">
        <f aca="false">IF($B84="","",H84-I84)</f>
        <v>24.6</v>
      </c>
      <c r="K84" s="16" t="n">
        <f aca="false">IF($A84="","",DATE(YEAR($A84),MONTH($A84),1))</f>
        <v>46174</v>
      </c>
    </row>
    <row r="85" customFormat="false" ht="15" hidden="false" customHeight="false" outlineLevel="0" collapsed="false">
      <c r="A85" s="25" t="n">
        <v>46194</v>
      </c>
      <c r="B85" s="19" t="s">
        <v>46</v>
      </c>
      <c r="C85" s="19" t="n">
        <v>1</v>
      </c>
      <c r="D85" s="26" t="n">
        <v>0</v>
      </c>
      <c r="E85" s="27" t="str">
        <f aca="false">IF($B85="","",IFERROR(INDEX(Products!$B$2:$B$201,MATCH($B85,Products!$A$2:$A$201,0)),"Unknown code"))</f>
        <v>Green tea 50 g</v>
      </c>
      <c r="F85" s="22" t="str">
        <f aca="false">IF($B85="","",IFERROR(INDEX(Products!$C$2:$C$201,MATCH($B85,Products!$A$2:$A$201,0)),""))</f>
        <v>Tea</v>
      </c>
      <c r="G85" s="17" t="n">
        <f aca="false">IF($B85="","",IFERROR(INDEX(Products!$D$2:$D$201,MATCH($B85,Products!$A$2:$A$201,0)),0))</f>
        <v>5.5</v>
      </c>
      <c r="H85" s="17" t="n">
        <f aca="false">IF($B85="","",C85*G85*(1-D85))</f>
        <v>5.5</v>
      </c>
      <c r="I85" s="17" t="n">
        <f aca="false">IF($B85="","",C85*IFERROR(INDEX(Products!$E$2:$E$201,MATCH($B85,Products!$A$2:$A$201,0)),0))</f>
        <v>2.2</v>
      </c>
      <c r="J85" s="17" t="n">
        <f aca="false">IF($B85="","",H85-I85)</f>
        <v>3.3</v>
      </c>
      <c r="K85" s="16" t="n">
        <f aca="false">IF($A85="","",DATE(YEAR($A85),MONTH($A85),1))</f>
        <v>46174</v>
      </c>
    </row>
    <row r="86" customFormat="false" ht="15" hidden="false" customHeight="false" outlineLevel="0" collapsed="false">
      <c r="A86" s="25" t="n">
        <v>46196</v>
      </c>
      <c r="B86" s="19" t="s">
        <v>48</v>
      </c>
      <c r="C86" s="19" t="n">
        <v>2</v>
      </c>
      <c r="D86" s="26" t="n">
        <v>0.05</v>
      </c>
      <c r="E86" s="27" t="str">
        <f aca="false">IF($B86="","",IFERROR(INDEX(Products!$B$2:$B$201,MATCH($B86,Products!$A$2:$A$201,0)),"Unknown code"))</f>
        <v>Chai tea 50 g</v>
      </c>
      <c r="F86" s="22" t="str">
        <f aca="false">IF($B86="","",IFERROR(INDEX(Products!$C$2:$C$201,MATCH($B86,Products!$A$2:$A$201,0)),""))</f>
        <v>Tea</v>
      </c>
      <c r="G86" s="17" t="n">
        <f aca="false">IF($B86="","",IFERROR(INDEX(Products!$D$2:$D$201,MATCH($B86,Products!$A$2:$A$201,0)),0))</f>
        <v>6.5</v>
      </c>
      <c r="H86" s="17" t="n">
        <f aca="false">IF($B86="","",C86*G86*(1-D86))</f>
        <v>12.35</v>
      </c>
      <c r="I86" s="17" t="n">
        <f aca="false">IF($B86="","",C86*IFERROR(INDEX(Products!$E$2:$E$201,MATCH($B86,Products!$A$2:$A$201,0)),0))</f>
        <v>5.2</v>
      </c>
      <c r="J86" s="17" t="n">
        <f aca="false">IF($B86="","",H86-I86)</f>
        <v>7.15</v>
      </c>
      <c r="K86" s="16" t="n">
        <f aca="false">IF($A86="","",DATE(YEAR($A86),MONTH($A86),1))</f>
        <v>46174</v>
      </c>
    </row>
    <row r="87" customFormat="false" ht="15" hidden="false" customHeight="false" outlineLevel="0" collapsed="false">
      <c r="A87" s="25" t="n">
        <v>46198</v>
      </c>
      <c r="B87" s="19" t="s">
        <v>48</v>
      </c>
      <c r="C87" s="19" t="n">
        <v>3</v>
      </c>
      <c r="D87" s="26" t="n">
        <v>0</v>
      </c>
      <c r="E87" s="27" t="str">
        <f aca="false">IF($B87="","",IFERROR(INDEX(Products!$B$2:$B$201,MATCH($B87,Products!$A$2:$A$201,0)),"Unknown code"))</f>
        <v>Chai tea 50 g</v>
      </c>
      <c r="F87" s="22" t="str">
        <f aca="false">IF($B87="","",IFERROR(INDEX(Products!$C$2:$C$201,MATCH($B87,Products!$A$2:$A$201,0)),""))</f>
        <v>Tea</v>
      </c>
      <c r="G87" s="17" t="n">
        <f aca="false">IF($B87="","",IFERROR(INDEX(Products!$D$2:$D$201,MATCH($B87,Products!$A$2:$A$201,0)),0))</f>
        <v>6.5</v>
      </c>
      <c r="H87" s="17" t="n">
        <f aca="false">IF($B87="","",C87*G87*(1-D87))</f>
        <v>19.5</v>
      </c>
      <c r="I87" s="17" t="n">
        <f aca="false">IF($B87="","",C87*IFERROR(INDEX(Products!$E$2:$E$201,MATCH($B87,Products!$A$2:$A$201,0)),0))</f>
        <v>7.8</v>
      </c>
      <c r="J87" s="17" t="n">
        <f aca="false">IF($B87="","",H87-I87)</f>
        <v>11.7</v>
      </c>
      <c r="K87" s="16" t="n">
        <f aca="false">IF($A87="","",DATE(YEAR($A87),MONTH($A87),1))</f>
        <v>46174</v>
      </c>
    </row>
    <row r="88" customFormat="false" ht="15" hidden="false" customHeight="false" outlineLevel="0" collapsed="false">
      <c r="A88" s="25" t="n">
        <v>46198</v>
      </c>
      <c r="B88" s="19" t="s">
        <v>50</v>
      </c>
      <c r="C88" s="19" t="n">
        <v>3</v>
      </c>
      <c r="D88" s="26" t="n">
        <v>0</v>
      </c>
      <c r="E88" s="27" t="str">
        <f aca="false">IF($B88="","",IFERROR(INDEX(Products!$B$2:$B$201,MATCH($B88,Products!$A$2:$A$201,0)),"Unknown code"))</f>
        <v>Ceramic mug</v>
      </c>
      <c r="F88" s="22" t="str">
        <f aca="false">IF($B88="","",IFERROR(INDEX(Products!$C$2:$C$201,MATCH($B88,Products!$A$2:$A$201,0)),""))</f>
        <v>Accessories</v>
      </c>
      <c r="G88" s="17" t="n">
        <f aca="false">IF($B88="","",IFERROR(INDEX(Products!$D$2:$D$201,MATCH($B88,Products!$A$2:$A$201,0)),0))</f>
        <v>10</v>
      </c>
      <c r="H88" s="17" t="n">
        <f aca="false">IF($B88="","",C88*G88*(1-D88))</f>
        <v>30</v>
      </c>
      <c r="I88" s="17" t="n">
        <f aca="false">IF($B88="","",C88*IFERROR(INDEX(Products!$E$2:$E$201,MATCH($B88,Products!$A$2:$A$201,0)),0))</f>
        <v>12</v>
      </c>
      <c r="J88" s="17" t="n">
        <f aca="false">IF($B88="","",H88-I88)</f>
        <v>18</v>
      </c>
      <c r="K88" s="16" t="n">
        <f aca="false">IF($A88="","",DATE(YEAR($A88),MONTH($A88),1))</f>
        <v>46174</v>
      </c>
    </row>
    <row r="89" customFormat="false" ht="15" hidden="false" customHeight="false" outlineLevel="0" collapsed="false">
      <c r="A89" s="25" t="n">
        <v>46199</v>
      </c>
      <c r="B89" s="19" t="s">
        <v>50</v>
      </c>
      <c r="C89" s="19" t="n">
        <v>3</v>
      </c>
      <c r="D89" s="26" t="n">
        <v>0.05</v>
      </c>
      <c r="E89" s="27" t="str">
        <f aca="false">IF($B89="","",IFERROR(INDEX(Products!$B$2:$B$201,MATCH($B89,Products!$A$2:$A$201,0)),"Unknown code"))</f>
        <v>Ceramic mug</v>
      </c>
      <c r="F89" s="22" t="str">
        <f aca="false">IF($B89="","",IFERROR(INDEX(Products!$C$2:$C$201,MATCH($B89,Products!$A$2:$A$201,0)),""))</f>
        <v>Accessories</v>
      </c>
      <c r="G89" s="17" t="n">
        <f aca="false">IF($B89="","",IFERROR(INDEX(Products!$D$2:$D$201,MATCH($B89,Products!$A$2:$A$201,0)),0))</f>
        <v>10</v>
      </c>
      <c r="H89" s="17" t="n">
        <f aca="false">IF($B89="","",C89*G89*(1-D89))</f>
        <v>28.5</v>
      </c>
      <c r="I89" s="17" t="n">
        <f aca="false">IF($B89="","",C89*IFERROR(INDEX(Products!$E$2:$E$201,MATCH($B89,Products!$A$2:$A$201,0)),0))</f>
        <v>12</v>
      </c>
      <c r="J89" s="17" t="n">
        <f aca="false">IF($B89="","",H89-I89)</f>
        <v>16.5</v>
      </c>
      <c r="K89" s="16" t="n">
        <f aca="false">IF($A89="","",DATE(YEAR($A89),MONTH($A89),1))</f>
        <v>46174</v>
      </c>
    </row>
    <row r="90" customFormat="false" ht="15" hidden="false" customHeight="false" outlineLevel="0" collapsed="false">
      <c r="A90" s="25" t="n">
        <v>46203</v>
      </c>
      <c r="B90" s="19" t="s">
        <v>42</v>
      </c>
      <c r="C90" s="19" t="n">
        <v>1</v>
      </c>
      <c r="D90" s="26" t="n">
        <v>0</v>
      </c>
      <c r="E90" s="27" t="str">
        <f aca="false">IF($B90="","",IFERROR(INDEX(Products!$B$2:$B$201,MATCH($B90,Products!$A$2:$A$201,0)),"Unknown code"))</f>
        <v>Ground coffee 500 g</v>
      </c>
      <c r="F90" s="22" t="str">
        <f aca="false">IF($B90="","",IFERROR(INDEX(Products!$C$2:$C$201,MATCH($B90,Products!$A$2:$A$201,0)),""))</f>
        <v>Coffee</v>
      </c>
      <c r="G90" s="17" t="n">
        <f aca="false">IF($B90="","",IFERROR(INDEX(Products!$D$2:$D$201,MATCH($B90,Products!$A$2:$A$201,0)),0))</f>
        <v>16</v>
      </c>
      <c r="H90" s="17" t="n">
        <f aca="false">IF($B90="","",C90*G90*(1-D90))</f>
        <v>16</v>
      </c>
      <c r="I90" s="17" t="n">
        <f aca="false">IF($B90="","",C90*IFERROR(INDEX(Products!$E$2:$E$201,MATCH($B90,Products!$A$2:$A$201,0)),0))</f>
        <v>7.8</v>
      </c>
      <c r="J90" s="17" t="n">
        <f aca="false">IF($B90="","",H90-I90)</f>
        <v>8.2</v>
      </c>
      <c r="K90" s="16" t="n">
        <f aca="false">IF($A90="","",DATE(YEAR($A90),MONTH($A90),1))</f>
        <v>46174</v>
      </c>
    </row>
    <row r="91" customFormat="false" ht="15" hidden="false" customHeight="false" outlineLevel="0" collapsed="false">
      <c r="A91" s="25" t="n">
        <v>46206</v>
      </c>
      <c r="B91" s="19" t="s">
        <v>54</v>
      </c>
      <c r="C91" s="19" t="n">
        <v>1</v>
      </c>
      <c r="D91" s="26" t="n">
        <v>0</v>
      </c>
      <c r="E91" s="27" t="str">
        <f aca="false">IF($B91="","",IFERROR(INDEX(Products!$B$2:$B$201,MATCH($B91,Products!$A$2:$A$201,0)),"Unknown code"))</f>
        <v>Paper filters (100 pcs)</v>
      </c>
      <c r="F91" s="22" t="str">
        <f aca="false">IF($B91="","",IFERROR(INDEX(Products!$C$2:$C$201,MATCH($B91,Products!$A$2:$A$201,0)),""))</f>
        <v>Accessories</v>
      </c>
      <c r="G91" s="17" t="n">
        <f aca="false">IF($B91="","",IFERROR(INDEX(Products!$D$2:$D$201,MATCH($B91,Products!$A$2:$A$201,0)),0))</f>
        <v>4.5</v>
      </c>
      <c r="H91" s="17" t="n">
        <f aca="false">IF($B91="","",C91*G91*(1-D91))</f>
        <v>4.5</v>
      </c>
      <c r="I91" s="17" t="n">
        <f aca="false">IF($B91="","",C91*IFERROR(INDEX(Products!$E$2:$E$201,MATCH($B91,Products!$A$2:$A$201,0)),0))</f>
        <v>1.7</v>
      </c>
      <c r="J91" s="17" t="n">
        <f aca="false">IF($B91="","",H91-I91)</f>
        <v>2.8</v>
      </c>
      <c r="K91" s="16" t="n">
        <f aca="false">IF($A91="","",DATE(YEAR($A91),MONTH($A91),1))</f>
        <v>46204</v>
      </c>
    </row>
    <row r="92" customFormat="false" ht="15" hidden="false" customHeight="false" outlineLevel="0" collapsed="false">
      <c r="A92" s="25" t="n">
        <v>46206</v>
      </c>
      <c r="B92" s="19" t="s">
        <v>46</v>
      </c>
      <c r="C92" s="19" t="n">
        <v>3</v>
      </c>
      <c r="D92" s="26" t="n">
        <v>0.05</v>
      </c>
      <c r="E92" s="27" t="str">
        <f aca="false">IF($B92="","",IFERROR(INDEX(Products!$B$2:$B$201,MATCH($B92,Products!$A$2:$A$201,0)),"Unknown code"))</f>
        <v>Green tea 50 g</v>
      </c>
      <c r="F92" s="22" t="str">
        <f aca="false">IF($B92="","",IFERROR(INDEX(Products!$C$2:$C$201,MATCH($B92,Products!$A$2:$A$201,0)),""))</f>
        <v>Tea</v>
      </c>
      <c r="G92" s="17" t="n">
        <f aca="false">IF($B92="","",IFERROR(INDEX(Products!$D$2:$D$201,MATCH($B92,Products!$A$2:$A$201,0)),0))</f>
        <v>5.5</v>
      </c>
      <c r="H92" s="17" t="n">
        <f aca="false">IF($B92="","",C92*G92*(1-D92))</f>
        <v>15.675</v>
      </c>
      <c r="I92" s="17" t="n">
        <f aca="false">IF($B92="","",C92*IFERROR(INDEX(Products!$E$2:$E$201,MATCH($B92,Products!$A$2:$A$201,0)),0))</f>
        <v>6.6</v>
      </c>
      <c r="J92" s="17" t="n">
        <f aca="false">IF($B92="","",H92-I92)</f>
        <v>9.075</v>
      </c>
      <c r="K92" s="16" t="n">
        <f aca="false">IF($A92="","",DATE(YEAR($A92),MONTH($A92),1))</f>
        <v>46204</v>
      </c>
    </row>
    <row r="93" customFormat="false" ht="15" hidden="false" customHeight="false" outlineLevel="0" collapsed="false">
      <c r="A93" s="25" t="n">
        <v>46208</v>
      </c>
      <c r="B93" s="19" t="s">
        <v>50</v>
      </c>
      <c r="C93" s="19" t="n">
        <v>1</v>
      </c>
      <c r="D93" s="26" t="n">
        <v>0</v>
      </c>
      <c r="E93" s="27" t="str">
        <f aca="false">IF($B93="","",IFERROR(INDEX(Products!$B$2:$B$201,MATCH($B93,Products!$A$2:$A$201,0)),"Unknown code"))</f>
        <v>Ceramic mug</v>
      </c>
      <c r="F93" s="22" t="str">
        <f aca="false">IF($B93="","",IFERROR(INDEX(Products!$C$2:$C$201,MATCH($B93,Products!$A$2:$A$201,0)),""))</f>
        <v>Accessories</v>
      </c>
      <c r="G93" s="17" t="n">
        <f aca="false">IF($B93="","",IFERROR(INDEX(Products!$D$2:$D$201,MATCH($B93,Products!$A$2:$A$201,0)),0))</f>
        <v>10</v>
      </c>
      <c r="H93" s="17" t="n">
        <f aca="false">IF($B93="","",C93*G93*(1-D93))</f>
        <v>10</v>
      </c>
      <c r="I93" s="17" t="n">
        <f aca="false">IF($B93="","",C93*IFERROR(INDEX(Products!$E$2:$E$201,MATCH($B93,Products!$A$2:$A$201,0)),0))</f>
        <v>4</v>
      </c>
      <c r="J93" s="17" t="n">
        <f aca="false">IF($B93="","",H93-I93)</f>
        <v>6</v>
      </c>
      <c r="K93" s="16" t="n">
        <f aca="false">IF($A93="","",DATE(YEAR($A93),MONTH($A93),1))</f>
        <v>46204</v>
      </c>
    </row>
    <row r="94" customFormat="false" ht="15" hidden="false" customHeight="false" outlineLevel="0" collapsed="false">
      <c r="A94" s="25" t="n">
        <v>46208</v>
      </c>
      <c r="B94" s="19" t="s">
        <v>54</v>
      </c>
      <c r="C94" s="19" t="n">
        <v>1</v>
      </c>
      <c r="D94" s="26" t="n">
        <v>0</v>
      </c>
      <c r="E94" s="27" t="str">
        <f aca="false">IF($B94="","",IFERROR(INDEX(Products!$B$2:$B$201,MATCH($B94,Products!$A$2:$A$201,0)),"Unknown code"))</f>
        <v>Paper filters (100 pcs)</v>
      </c>
      <c r="F94" s="22" t="str">
        <f aca="false">IF($B94="","",IFERROR(INDEX(Products!$C$2:$C$201,MATCH($B94,Products!$A$2:$A$201,0)),""))</f>
        <v>Accessories</v>
      </c>
      <c r="G94" s="17" t="n">
        <f aca="false">IF($B94="","",IFERROR(INDEX(Products!$D$2:$D$201,MATCH($B94,Products!$A$2:$A$201,0)),0))</f>
        <v>4.5</v>
      </c>
      <c r="H94" s="17" t="n">
        <f aca="false">IF($B94="","",C94*G94*(1-D94))</f>
        <v>4.5</v>
      </c>
      <c r="I94" s="17" t="n">
        <f aca="false">IF($B94="","",C94*IFERROR(INDEX(Products!$E$2:$E$201,MATCH($B94,Products!$A$2:$A$201,0)),0))</f>
        <v>1.7</v>
      </c>
      <c r="J94" s="17" t="n">
        <f aca="false">IF($B94="","",H94-I94)</f>
        <v>2.8</v>
      </c>
      <c r="K94" s="16" t="n">
        <f aca="false">IF($A94="","",DATE(YEAR($A94),MONTH($A94),1))</f>
        <v>46204</v>
      </c>
    </row>
    <row r="95" customFormat="false" ht="15" hidden="false" customHeight="false" outlineLevel="0" collapsed="false">
      <c r="A95" s="25" t="n">
        <v>46211</v>
      </c>
      <c r="B95" s="19" t="s">
        <v>42</v>
      </c>
      <c r="C95" s="19" t="n">
        <v>3</v>
      </c>
      <c r="D95" s="26" t="n">
        <v>0.05</v>
      </c>
      <c r="E95" s="27" t="str">
        <f aca="false">IF($B95="","",IFERROR(INDEX(Products!$B$2:$B$201,MATCH($B95,Products!$A$2:$A$201,0)),"Unknown code"))</f>
        <v>Ground coffee 500 g</v>
      </c>
      <c r="F95" s="22" t="str">
        <f aca="false">IF($B95="","",IFERROR(INDEX(Products!$C$2:$C$201,MATCH($B95,Products!$A$2:$A$201,0)),""))</f>
        <v>Coffee</v>
      </c>
      <c r="G95" s="17" t="n">
        <f aca="false">IF($B95="","",IFERROR(INDEX(Products!$D$2:$D$201,MATCH($B95,Products!$A$2:$A$201,0)),0))</f>
        <v>16</v>
      </c>
      <c r="H95" s="17" t="n">
        <f aca="false">IF($B95="","",C95*G95*(1-D95))</f>
        <v>45.6</v>
      </c>
      <c r="I95" s="17" t="n">
        <f aca="false">IF($B95="","",C95*IFERROR(INDEX(Products!$E$2:$E$201,MATCH($B95,Products!$A$2:$A$201,0)),0))</f>
        <v>23.4</v>
      </c>
      <c r="J95" s="17" t="n">
        <f aca="false">IF($B95="","",H95-I95)</f>
        <v>22.2</v>
      </c>
      <c r="K95" s="16" t="n">
        <f aca="false">IF($A95="","",DATE(YEAR($A95),MONTH($A95),1))</f>
        <v>46204</v>
      </c>
    </row>
    <row r="96" customFormat="false" ht="15" hidden="false" customHeight="false" outlineLevel="0" collapsed="false">
      <c r="A96" s="25" t="n">
        <v>46219</v>
      </c>
      <c r="B96" s="19" t="s">
        <v>58</v>
      </c>
      <c r="C96" s="19" t="n">
        <v>3</v>
      </c>
      <c r="D96" s="26" t="n">
        <v>0.05</v>
      </c>
      <c r="E96" s="27" t="str">
        <f aca="false">IF($B96="","",IFERROR(INDEX(Products!$B$2:$B$201,MATCH($B96,Products!$A$2:$A$201,0)),"Unknown code"))</f>
        <v>Oat cookies (6 pcs)</v>
      </c>
      <c r="F96" s="22" t="str">
        <f aca="false">IF($B96="","",IFERROR(INDEX(Products!$C$2:$C$201,MATCH($B96,Products!$A$2:$A$201,0)),""))</f>
        <v>Snacks</v>
      </c>
      <c r="G96" s="17" t="n">
        <f aca="false">IF($B96="","",IFERROR(INDEX(Products!$D$2:$D$201,MATCH($B96,Products!$A$2:$A$201,0)),0))</f>
        <v>3.8</v>
      </c>
      <c r="H96" s="17" t="n">
        <f aca="false">IF($B96="","",C96*G96*(1-D96))</f>
        <v>10.83</v>
      </c>
      <c r="I96" s="17" t="n">
        <f aca="false">IF($B96="","",C96*IFERROR(INDEX(Products!$E$2:$E$201,MATCH($B96,Products!$A$2:$A$201,0)),0))</f>
        <v>4.2</v>
      </c>
      <c r="J96" s="17" t="n">
        <f aca="false">IF($B96="","",H96-I96)</f>
        <v>6.63</v>
      </c>
      <c r="K96" s="16" t="n">
        <f aca="false">IF($A96="","",DATE(YEAR($A96),MONTH($A96),1))</f>
        <v>46204</v>
      </c>
    </row>
    <row r="97" customFormat="false" ht="15" hidden="false" customHeight="false" outlineLevel="0" collapsed="false">
      <c r="A97" s="25" t="n">
        <v>46221</v>
      </c>
      <c r="B97" s="19" t="s">
        <v>54</v>
      </c>
      <c r="C97" s="19" t="n">
        <v>3</v>
      </c>
      <c r="D97" s="26" t="n">
        <v>0.05</v>
      </c>
      <c r="E97" s="27" t="str">
        <f aca="false">IF($B97="","",IFERROR(INDEX(Products!$B$2:$B$201,MATCH($B97,Products!$A$2:$A$201,0)),"Unknown code"))</f>
        <v>Paper filters (100 pcs)</v>
      </c>
      <c r="F97" s="22" t="str">
        <f aca="false">IF($B97="","",IFERROR(INDEX(Products!$C$2:$C$201,MATCH($B97,Products!$A$2:$A$201,0)),""))</f>
        <v>Accessories</v>
      </c>
      <c r="G97" s="17" t="n">
        <f aca="false">IF($B97="","",IFERROR(INDEX(Products!$D$2:$D$201,MATCH($B97,Products!$A$2:$A$201,0)),0))</f>
        <v>4.5</v>
      </c>
      <c r="H97" s="17" t="n">
        <f aca="false">IF($B97="","",C97*G97*(1-D97))</f>
        <v>12.825</v>
      </c>
      <c r="I97" s="17" t="n">
        <f aca="false">IF($B97="","",C97*IFERROR(INDEX(Products!$E$2:$E$201,MATCH($B97,Products!$A$2:$A$201,0)),0))</f>
        <v>5.1</v>
      </c>
      <c r="J97" s="17" t="n">
        <f aca="false">IF($B97="","",H97-I97)</f>
        <v>7.725</v>
      </c>
      <c r="K97" s="16" t="n">
        <f aca="false">IF($A97="","",DATE(YEAR($A97),MONTH($A97),1))</f>
        <v>46204</v>
      </c>
    </row>
    <row r="98" customFormat="false" ht="15" hidden="false" customHeight="false" outlineLevel="0" collapsed="false">
      <c r="A98" s="25" t="n">
        <v>46221</v>
      </c>
      <c r="B98" s="19" t="s">
        <v>48</v>
      </c>
      <c r="C98" s="19" t="n">
        <v>2</v>
      </c>
      <c r="D98" s="26" t="n">
        <v>0</v>
      </c>
      <c r="E98" s="27" t="str">
        <f aca="false">IF($B98="","",IFERROR(INDEX(Products!$B$2:$B$201,MATCH($B98,Products!$A$2:$A$201,0)),"Unknown code"))</f>
        <v>Chai tea 50 g</v>
      </c>
      <c r="F98" s="22" t="str">
        <f aca="false">IF($B98="","",IFERROR(INDEX(Products!$C$2:$C$201,MATCH($B98,Products!$A$2:$A$201,0)),""))</f>
        <v>Tea</v>
      </c>
      <c r="G98" s="17" t="n">
        <f aca="false">IF($B98="","",IFERROR(INDEX(Products!$D$2:$D$201,MATCH($B98,Products!$A$2:$A$201,0)),0))</f>
        <v>6.5</v>
      </c>
      <c r="H98" s="17" t="n">
        <f aca="false">IF($B98="","",C98*G98*(1-D98))</f>
        <v>13</v>
      </c>
      <c r="I98" s="17" t="n">
        <f aca="false">IF($B98="","",C98*IFERROR(INDEX(Products!$E$2:$E$201,MATCH($B98,Products!$A$2:$A$201,0)),0))</f>
        <v>5.2</v>
      </c>
      <c r="J98" s="17" t="n">
        <f aca="false">IF($B98="","",H98-I98)</f>
        <v>7.8</v>
      </c>
      <c r="K98" s="16" t="n">
        <f aca="false">IF($A98="","",DATE(YEAR($A98),MONTH($A98),1))</f>
        <v>46204</v>
      </c>
    </row>
    <row r="99" customFormat="false" ht="15" hidden="false" customHeight="false" outlineLevel="0" collapsed="false">
      <c r="A99" s="25" t="n">
        <v>46223</v>
      </c>
      <c r="B99" s="19" t="s">
        <v>48</v>
      </c>
      <c r="C99" s="19" t="n">
        <v>1</v>
      </c>
      <c r="D99" s="26" t="n">
        <v>0.1</v>
      </c>
      <c r="E99" s="27" t="str">
        <f aca="false">IF($B99="","",IFERROR(INDEX(Products!$B$2:$B$201,MATCH($B99,Products!$A$2:$A$201,0)),"Unknown code"))</f>
        <v>Chai tea 50 g</v>
      </c>
      <c r="F99" s="22" t="str">
        <f aca="false">IF($B99="","",IFERROR(INDEX(Products!$C$2:$C$201,MATCH($B99,Products!$A$2:$A$201,0)),""))</f>
        <v>Tea</v>
      </c>
      <c r="G99" s="17" t="n">
        <f aca="false">IF($B99="","",IFERROR(INDEX(Products!$D$2:$D$201,MATCH($B99,Products!$A$2:$A$201,0)),0))</f>
        <v>6.5</v>
      </c>
      <c r="H99" s="17" t="n">
        <f aca="false">IF($B99="","",C99*G99*(1-D99))</f>
        <v>5.85</v>
      </c>
      <c r="I99" s="17" t="n">
        <f aca="false">IF($B99="","",C99*IFERROR(INDEX(Products!$E$2:$E$201,MATCH($B99,Products!$A$2:$A$201,0)),0))</f>
        <v>2.6</v>
      </c>
      <c r="J99" s="17" t="n">
        <f aca="false">IF($B99="","",H99-I99)</f>
        <v>3.25</v>
      </c>
      <c r="K99" s="16" t="n">
        <f aca="false">IF($A99="","",DATE(YEAR($A99),MONTH($A99),1))</f>
        <v>46204</v>
      </c>
    </row>
    <row r="100" customFormat="false" ht="15" hidden="false" customHeight="false" outlineLevel="0" collapsed="false">
      <c r="A100" s="25" t="n">
        <v>46223</v>
      </c>
      <c r="B100" s="19" t="s">
        <v>44</v>
      </c>
      <c r="C100" s="19" t="n">
        <v>2</v>
      </c>
      <c r="D100" s="26" t="n">
        <v>0</v>
      </c>
      <c r="E100" s="27" t="str">
        <f aca="false">IF($B100="","",IFERROR(INDEX(Products!$B$2:$B$201,MATCH($B100,Products!$A$2:$A$201,0)),"Unknown code"))</f>
        <v>Specialty coffee 250 g</v>
      </c>
      <c r="F100" s="22" t="str">
        <f aca="false">IF($B100="","",IFERROR(INDEX(Products!$C$2:$C$201,MATCH($B100,Products!$A$2:$A$201,0)),""))</f>
        <v>Coffee</v>
      </c>
      <c r="G100" s="17" t="n">
        <f aca="false">IF($B100="","",IFERROR(INDEX(Products!$D$2:$D$201,MATCH($B100,Products!$A$2:$A$201,0)),0))</f>
        <v>14</v>
      </c>
      <c r="H100" s="17" t="n">
        <f aca="false">IF($B100="","",C100*G100*(1-D100))</f>
        <v>28</v>
      </c>
      <c r="I100" s="17" t="n">
        <f aca="false">IF($B100="","",C100*IFERROR(INDEX(Products!$E$2:$E$201,MATCH($B100,Products!$A$2:$A$201,0)),0))</f>
        <v>13.8</v>
      </c>
      <c r="J100" s="17" t="n">
        <f aca="false">IF($B100="","",H100-I100)</f>
        <v>14.2</v>
      </c>
      <c r="K100" s="16" t="n">
        <f aca="false">IF($A100="","",DATE(YEAR($A100),MONTH($A100),1))</f>
        <v>46204</v>
      </c>
    </row>
    <row r="101" customFormat="false" ht="15" hidden="false" customHeight="false" outlineLevel="0" collapsed="false">
      <c r="A101" s="25" t="n">
        <v>46225</v>
      </c>
      <c r="B101" s="19" t="s">
        <v>48</v>
      </c>
      <c r="C101" s="19" t="n">
        <v>3</v>
      </c>
      <c r="D101" s="26" t="n">
        <v>0</v>
      </c>
      <c r="E101" s="27" t="str">
        <f aca="false">IF($B101="","",IFERROR(INDEX(Products!$B$2:$B$201,MATCH($B101,Products!$A$2:$A$201,0)),"Unknown code"))</f>
        <v>Chai tea 50 g</v>
      </c>
      <c r="F101" s="22" t="str">
        <f aca="false">IF($B101="","",IFERROR(INDEX(Products!$C$2:$C$201,MATCH($B101,Products!$A$2:$A$201,0)),""))</f>
        <v>Tea</v>
      </c>
      <c r="G101" s="17" t="n">
        <f aca="false">IF($B101="","",IFERROR(INDEX(Products!$D$2:$D$201,MATCH($B101,Products!$A$2:$A$201,0)),0))</f>
        <v>6.5</v>
      </c>
      <c r="H101" s="17" t="n">
        <f aca="false">IF($B101="","",C101*G101*(1-D101))</f>
        <v>19.5</v>
      </c>
      <c r="I101" s="17" t="n">
        <f aca="false">IF($B101="","",C101*IFERROR(INDEX(Products!$E$2:$E$201,MATCH($B101,Products!$A$2:$A$201,0)),0))</f>
        <v>7.8</v>
      </c>
      <c r="J101" s="17" t="n">
        <f aca="false">IF($B101="","",H101-I101)</f>
        <v>11.7</v>
      </c>
      <c r="K101" s="16" t="n">
        <f aca="false">IF($A101="","",DATE(YEAR($A101),MONTH($A101),1))</f>
        <v>46204</v>
      </c>
    </row>
    <row r="102" customFormat="false" ht="15" hidden="false" customHeight="false" outlineLevel="0" collapsed="false">
      <c r="A102" s="25" t="n">
        <v>46227</v>
      </c>
      <c r="B102" s="19" t="s">
        <v>44</v>
      </c>
      <c r="C102" s="19" t="n">
        <v>2</v>
      </c>
      <c r="D102" s="26" t="n">
        <v>0</v>
      </c>
      <c r="E102" s="27" t="str">
        <f aca="false">IF($B102="","",IFERROR(INDEX(Products!$B$2:$B$201,MATCH($B102,Products!$A$2:$A$201,0)),"Unknown code"))</f>
        <v>Specialty coffee 250 g</v>
      </c>
      <c r="F102" s="22" t="str">
        <f aca="false">IF($B102="","",IFERROR(INDEX(Products!$C$2:$C$201,MATCH($B102,Products!$A$2:$A$201,0)),""))</f>
        <v>Coffee</v>
      </c>
      <c r="G102" s="17" t="n">
        <f aca="false">IF($B102="","",IFERROR(INDEX(Products!$D$2:$D$201,MATCH($B102,Products!$A$2:$A$201,0)),0))</f>
        <v>14</v>
      </c>
      <c r="H102" s="17" t="n">
        <f aca="false">IF($B102="","",C102*G102*(1-D102))</f>
        <v>28</v>
      </c>
      <c r="I102" s="17" t="n">
        <f aca="false">IF($B102="","",C102*IFERROR(INDEX(Products!$E$2:$E$201,MATCH($B102,Products!$A$2:$A$201,0)),0))</f>
        <v>13.8</v>
      </c>
      <c r="J102" s="17" t="n">
        <f aca="false">IF($B102="","",H102-I102)</f>
        <v>14.2</v>
      </c>
      <c r="K102" s="16" t="n">
        <f aca="false">IF($A102="","",DATE(YEAR($A102),MONTH($A102),1))</f>
        <v>46204</v>
      </c>
    </row>
    <row r="103" customFormat="false" ht="15" hidden="false" customHeight="false" outlineLevel="0" collapsed="false">
      <c r="A103" s="25" t="n">
        <v>46229</v>
      </c>
      <c r="B103" s="19" t="s">
        <v>42</v>
      </c>
      <c r="C103" s="19" t="n">
        <v>3</v>
      </c>
      <c r="D103" s="26" t="n">
        <v>0</v>
      </c>
      <c r="E103" s="27" t="str">
        <f aca="false">IF($B103="","",IFERROR(INDEX(Products!$B$2:$B$201,MATCH($B103,Products!$A$2:$A$201,0)),"Unknown code"))</f>
        <v>Ground coffee 500 g</v>
      </c>
      <c r="F103" s="22" t="str">
        <f aca="false">IF($B103="","",IFERROR(INDEX(Products!$C$2:$C$201,MATCH($B103,Products!$A$2:$A$201,0)),""))</f>
        <v>Coffee</v>
      </c>
      <c r="G103" s="17" t="n">
        <f aca="false">IF($B103="","",IFERROR(INDEX(Products!$D$2:$D$201,MATCH($B103,Products!$A$2:$A$201,0)),0))</f>
        <v>16</v>
      </c>
      <c r="H103" s="17" t="n">
        <f aca="false">IF($B103="","",C103*G103*(1-D103))</f>
        <v>48</v>
      </c>
      <c r="I103" s="17" t="n">
        <f aca="false">IF($B103="","",C103*IFERROR(INDEX(Products!$E$2:$E$201,MATCH($B103,Products!$A$2:$A$201,0)),0))</f>
        <v>23.4</v>
      </c>
      <c r="J103" s="17" t="n">
        <f aca="false">IF($B103="","",H103-I103)</f>
        <v>24.6</v>
      </c>
      <c r="K103" s="16" t="n">
        <f aca="false">IF($A103="","",DATE(YEAR($A103),MONTH($A103),1))</f>
        <v>46204</v>
      </c>
    </row>
    <row r="104" customFormat="false" ht="15" hidden="false" customHeight="false" outlineLevel="0" collapsed="false">
      <c r="A104" s="25" t="n">
        <v>46234</v>
      </c>
      <c r="B104" s="19" t="s">
        <v>44</v>
      </c>
      <c r="C104" s="19" t="n">
        <v>2</v>
      </c>
      <c r="D104" s="26" t="n">
        <v>0</v>
      </c>
      <c r="E104" s="27" t="str">
        <f aca="false">IF($B104="","",IFERROR(INDEX(Products!$B$2:$B$201,MATCH($B104,Products!$A$2:$A$201,0)),"Unknown code"))</f>
        <v>Specialty coffee 250 g</v>
      </c>
      <c r="F104" s="22" t="str">
        <f aca="false">IF($B104="","",IFERROR(INDEX(Products!$C$2:$C$201,MATCH($B104,Products!$A$2:$A$201,0)),""))</f>
        <v>Coffee</v>
      </c>
      <c r="G104" s="17" t="n">
        <f aca="false">IF($B104="","",IFERROR(INDEX(Products!$D$2:$D$201,MATCH($B104,Products!$A$2:$A$201,0)),0))</f>
        <v>14</v>
      </c>
      <c r="H104" s="17" t="n">
        <f aca="false">IF($B104="","",C104*G104*(1-D104))</f>
        <v>28</v>
      </c>
      <c r="I104" s="17" t="n">
        <f aca="false">IF($B104="","",C104*IFERROR(INDEX(Products!$E$2:$E$201,MATCH($B104,Products!$A$2:$A$201,0)),0))</f>
        <v>13.8</v>
      </c>
      <c r="J104" s="17" t="n">
        <f aca="false">IF($B104="","",H104-I104)</f>
        <v>14.2</v>
      </c>
      <c r="K104" s="16" t="n">
        <f aca="false">IF($A104="","",DATE(YEAR($A104),MONTH($A104),1))</f>
        <v>46204</v>
      </c>
    </row>
    <row r="105" customFormat="false" ht="15" hidden="false" customHeight="false" outlineLevel="0" collapsed="false">
      <c r="A105" s="25" t="n">
        <v>46234</v>
      </c>
      <c r="B105" s="19" t="s">
        <v>40</v>
      </c>
      <c r="C105" s="19" t="n">
        <v>2</v>
      </c>
      <c r="D105" s="26" t="n">
        <v>0</v>
      </c>
      <c r="E105" s="27" t="str">
        <f aca="false">IF($B105="","",IFERROR(INDEX(Products!$B$2:$B$201,MATCH($B105,Products!$A$2:$A$201,0)),"Unknown code"))</f>
        <v>Whole bean coffee 250 g</v>
      </c>
      <c r="F105" s="22" t="str">
        <f aca="false">IF($B105="","",IFERROR(INDEX(Products!$C$2:$C$201,MATCH($B105,Products!$A$2:$A$201,0)),""))</f>
        <v>Coffee</v>
      </c>
      <c r="G105" s="17" t="n">
        <f aca="false">IF($B105="","",IFERROR(INDEX(Products!$D$2:$D$201,MATCH($B105,Products!$A$2:$A$201,0)),0))</f>
        <v>9.5</v>
      </c>
      <c r="H105" s="17" t="n">
        <f aca="false">IF($B105="","",C105*G105*(1-D105))</f>
        <v>19</v>
      </c>
      <c r="I105" s="17" t="n">
        <f aca="false">IF($B105="","",C105*IFERROR(INDEX(Products!$E$2:$E$201,MATCH($B105,Products!$A$2:$A$201,0)),0))</f>
        <v>9</v>
      </c>
      <c r="J105" s="17" t="n">
        <f aca="false">IF($B105="","",H105-I105)</f>
        <v>10</v>
      </c>
      <c r="K105" s="16" t="n">
        <f aca="false">IF($A105="","",DATE(YEAR($A105),MONTH($A105),1))</f>
        <v>46204</v>
      </c>
    </row>
    <row r="106" customFormat="false" ht="15" hidden="false" customHeight="false" outlineLevel="0" collapsed="false">
      <c r="A106" s="25" t="n">
        <v>46235</v>
      </c>
      <c r="B106" s="19" t="s">
        <v>50</v>
      </c>
      <c r="C106" s="19" t="n">
        <v>1</v>
      </c>
      <c r="D106" s="26" t="n">
        <v>0</v>
      </c>
      <c r="E106" s="27" t="str">
        <f aca="false">IF($B106="","",IFERROR(INDEX(Products!$B$2:$B$201,MATCH($B106,Products!$A$2:$A$201,0)),"Unknown code"))</f>
        <v>Ceramic mug</v>
      </c>
      <c r="F106" s="22" t="str">
        <f aca="false">IF($B106="","",IFERROR(INDEX(Products!$C$2:$C$201,MATCH($B106,Products!$A$2:$A$201,0)),""))</f>
        <v>Accessories</v>
      </c>
      <c r="G106" s="17" t="n">
        <f aca="false">IF($B106="","",IFERROR(INDEX(Products!$D$2:$D$201,MATCH($B106,Products!$A$2:$A$201,0)),0))</f>
        <v>10</v>
      </c>
      <c r="H106" s="17" t="n">
        <f aca="false">IF($B106="","",C106*G106*(1-D106))</f>
        <v>10</v>
      </c>
      <c r="I106" s="17" t="n">
        <f aca="false">IF($B106="","",C106*IFERROR(INDEX(Products!$E$2:$E$201,MATCH($B106,Products!$A$2:$A$201,0)),0))</f>
        <v>4</v>
      </c>
      <c r="J106" s="17" t="n">
        <f aca="false">IF($B106="","",H106-I106)</f>
        <v>6</v>
      </c>
      <c r="K106" s="16" t="n">
        <f aca="false">IF($A106="","",DATE(YEAR($A106),MONTH($A106),1))</f>
        <v>46235</v>
      </c>
    </row>
    <row r="107" customFormat="false" ht="15" hidden="false" customHeight="false" outlineLevel="0" collapsed="false">
      <c r="A107" s="25" t="n">
        <v>46235</v>
      </c>
      <c r="B107" s="19" t="s">
        <v>58</v>
      </c>
      <c r="C107" s="19" t="n">
        <v>2</v>
      </c>
      <c r="D107" s="26" t="n">
        <v>0.05</v>
      </c>
      <c r="E107" s="27" t="str">
        <f aca="false">IF($B107="","",IFERROR(INDEX(Products!$B$2:$B$201,MATCH($B107,Products!$A$2:$A$201,0)),"Unknown code"))</f>
        <v>Oat cookies (6 pcs)</v>
      </c>
      <c r="F107" s="22" t="str">
        <f aca="false">IF($B107="","",IFERROR(INDEX(Products!$C$2:$C$201,MATCH($B107,Products!$A$2:$A$201,0)),""))</f>
        <v>Snacks</v>
      </c>
      <c r="G107" s="17" t="n">
        <f aca="false">IF($B107="","",IFERROR(INDEX(Products!$D$2:$D$201,MATCH($B107,Products!$A$2:$A$201,0)),0))</f>
        <v>3.8</v>
      </c>
      <c r="H107" s="17" t="n">
        <f aca="false">IF($B107="","",C107*G107*(1-D107))</f>
        <v>7.22</v>
      </c>
      <c r="I107" s="17" t="n">
        <f aca="false">IF($B107="","",C107*IFERROR(INDEX(Products!$E$2:$E$201,MATCH($B107,Products!$A$2:$A$201,0)),0))</f>
        <v>2.8</v>
      </c>
      <c r="J107" s="17" t="n">
        <f aca="false">IF($B107="","",H107-I107)</f>
        <v>4.42</v>
      </c>
      <c r="K107" s="16" t="n">
        <f aca="false">IF($A107="","",DATE(YEAR($A107),MONTH($A107),1))</f>
        <v>46235</v>
      </c>
    </row>
    <row r="108" customFormat="false" ht="15" hidden="false" customHeight="false" outlineLevel="0" collapsed="false">
      <c r="A108" s="25" t="n">
        <v>46237</v>
      </c>
      <c r="B108" s="19" t="s">
        <v>42</v>
      </c>
      <c r="C108" s="19" t="n">
        <v>2</v>
      </c>
      <c r="D108" s="26" t="n">
        <v>0</v>
      </c>
      <c r="E108" s="27" t="str">
        <f aca="false">IF($B108="","",IFERROR(INDEX(Products!$B$2:$B$201,MATCH($B108,Products!$A$2:$A$201,0)),"Unknown code"))</f>
        <v>Ground coffee 500 g</v>
      </c>
      <c r="F108" s="22" t="str">
        <f aca="false">IF($B108="","",IFERROR(INDEX(Products!$C$2:$C$201,MATCH($B108,Products!$A$2:$A$201,0)),""))</f>
        <v>Coffee</v>
      </c>
      <c r="G108" s="17" t="n">
        <f aca="false">IF($B108="","",IFERROR(INDEX(Products!$D$2:$D$201,MATCH($B108,Products!$A$2:$A$201,0)),0))</f>
        <v>16</v>
      </c>
      <c r="H108" s="17" t="n">
        <f aca="false">IF($B108="","",C108*G108*(1-D108))</f>
        <v>32</v>
      </c>
      <c r="I108" s="17" t="n">
        <f aca="false">IF($B108="","",C108*IFERROR(INDEX(Products!$E$2:$E$201,MATCH($B108,Products!$A$2:$A$201,0)),0))</f>
        <v>15.6</v>
      </c>
      <c r="J108" s="17" t="n">
        <f aca="false">IF($B108="","",H108-I108)</f>
        <v>16.4</v>
      </c>
      <c r="K108" s="16" t="n">
        <f aca="false">IF($A108="","",DATE(YEAR($A108),MONTH($A108),1))</f>
        <v>46235</v>
      </c>
    </row>
    <row r="109" customFormat="false" ht="15" hidden="false" customHeight="false" outlineLevel="0" collapsed="false">
      <c r="A109" s="25" t="n">
        <v>46237</v>
      </c>
      <c r="B109" s="19" t="s">
        <v>40</v>
      </c>
      <c r="C109" s="19" t="n">
        <v>1</v>
      </c>
      <c r="D109" s="26" t="n">
        <v>0.1</v>
      </c>
      <c r="E109" s="27" t="str">
        <f aca="false">IF($B109="","",IFERROR(INDEX(Products!$B$2:$B$201,MATCH($B109,Products!$A$2:$A$201,0)),"Unknown code"))</f>
        <v>Whole bean coffee 250 g</v>
      </c>
      <c r="F109" s="22" t="str">
        <f aca="false">IF($B109="","",IFERROR(INDEX(Products!$C$2:$C$201,MATCH($B109,Products!$A$2:$A$201,0)),""))</f>
        <v>Coffee</v>
      </c>
      <c r="G109" s="17" t="n">
        <f aca="false">IF($B109="","",IFERROR(INDEX(Products!$D$2:$D$201,MATCH($B109,Products!$A$2:$A$201,0)),0))</f>
        <v>9.5</v>
      </c>
      <c r="H109" s="17" t="n">
        <f aca="false">IF($B109="","",C109*G109*(1-D109))</f>
        <v>8.55</v>
      </c>
      <c r="I109" s="17" t="n">
        <f aca="false">IF($B109="","",C109*IFERROR(INDEX(Products!$E$2:$E$201,MATCH($B109,Products!$A$2:$A$201,0)),0))</f>
        <v>4.5</v>
      </c>
      <c r="J109" s="17" t="n">
        <f aca="false">IF($B109="","",H109-I109)</f>
        <v>4.05</v>
      </c>
      <c r="K109" s="16" t="n">
        <f aca="false">IF($A109="","",DATE(YEAR($A109),MONTH($A109),1))</f>
        <v>46235</v>
      </c>
    </row>
    <row r="110" customFormat="false" ht="15" hidden="false" customHeight="false" outlineLevel="0" collapsed="false">
      <c r="A110" s="25" t="n">
        <v>46240</v>
      </c>
      <c r="B110" s="19" t="s">
        <v>60</v>
      </c>
      <c r="C110" s="19" t="n">
        <v>1</v>
      </c>
      <c r="D110" s="26" t="n">
        <v>0.05</v>
      </c>
      <c r="E110" s="27" t="str">
        <f aca="false">IF($B110="","",IFERROR(INDEX(Products!$B$2:$B$201,MATCH($B110,Products!$A$2:$A$201,0)),"Unknown code"))</f>
        <v>Dark chocolate bar 70%</v>
      </c>
      <c r="F110" s="22" t="str">
        <f aca="false">IF($B110="","",IFERROR(INDEX(Products!$C$2:$C$201,MATCH($B110,Products!$A$2:$A$201,0)),""))</f>
        <v>Snacks</v>
      </c>
      <c r="G110" s="17" t="n">
        <f aca="false">IF($B110="","",IFERROR(INDEX(Products!$D$2:$D$201,MATCH($B110,Products!$A$2:$A$201,0)),0))</f>
        <v>3.2</v>
      </c>
      <c r="H110" s="17" t="n">
        <f aca="false">IF($B110="","",C110*G110*(1-D110))</f>
        <v>3.04</v>
      </c>
      <c r="I110" s="17" t="n">
        <f aca="false">IF($B110="","",C110*IFERROR(INDEX(Products!$E$2:$E$201,MATCH($B110,Products!$A$2:$A$201,0)),0))</f>
        <v>1.3</v>
      </c>
      <c r="J110" s="17" t="n">
        <f aca="false">IF($B110="","",H110-I110)</f>
        <v>1.74</v>
      </c>
      <c r="K110" s="16" t="n">
        <f aca="false">IF($A110="","",DATE(YEAR($A110),MONTH($A110),1))</f>
        <v>46235</v>
      </c>
    </row>
    <row r="111" customFormat="false" ht="15" hidden="false" customHeight="false" outlineLevel="0" collapsed="false">
      <c r="A111" s="25" t="n">
        <v>46241</v>
      </c>
      <c r="B111" s="19" t="s">
        <v>54</v>
      </c>
      <c r="C111" s="19" t="n">
        <v>3</v>
      </c>
      <c r="D111" s="26" t="n">
        <v>0</v>
      </c>
      <c r="E111" s="27" t="str">
        <f aca="false">IF($B111="","",IFERROR(INDEX(Products!$B$2:$B$201,MATCH($B111,Products!$A$2:$A$201,0)),"Unknown code"))</f>
        <v>Paper filters (100 pcs)</v>
      </c>
      <c r="F111" s="22" t="str">
        <f aca="false">IF($B111="","",IFERROR(INDEX(Products!$C$2:$C$201,MATCH($B111,Products!$A$2:$A$201,0)),""))</f>
        <v>Accessories</v>
      </c>
      <c r="G111" s="17" t="n">
        <f aca="false">IF($B111="","",IFERROR(INDEX(Products!$D$2:$D$201,MATCH($B111,Products!$A$2:$A$201,0)),0))</f>
        <v>4.5</v>
      </c>
      <c r="H111" s="17" t="n">
        <f aca="false">IF($B111="","",C111*G111*(1-D111))</f>
        <v>13.5</v>
      </c>
      <c r="I111" s="17" t="n">
        <f aca="false">IF($B111="","",C111*IFERROR(INDEX(Products!$E$2:$E$201,MATCH($B111,Products!$A$2:$A$201,0)),0))</f>
        <v>5.1</v>
      </c>
      <c r="J111" s="17" t="n">
        <f aca="false">IF($B111="","",H111-I111)</f>
        <v>8.4</v>
      </c>
      <c r="K111" s="16" t="n">
        <f aca="false">IF($A111="","",DATE(YEAR($A111),MONTH($A111),1))</f>
        <v>46235</v>
      </c>
    </row>
    <row r="112" customFormat="false" ht="15" hidden="false" customHeight="false" outlineLevel="0" collapsed="false">
      <c r="A112" s="25" t="n">
        <v>46241</v>
      </c>
      <c r="B112" s="19" t="s">
        <v>40</v>
      </c>
      <c r="C112" s="19" t="n">
        <v>2</v>
      </c>
      <c r="D112" s="26" t="n">
        <v>0</v>
      </c>
      <c r="E112" s="27" t="str">
        <f aca="false">IF($B112="","",IFERROR(INDEX(Products!$B$2:$B$201,MATCH($B112,Products!$A$2:$A$201,0)),"Unknown code"))</f>
        <v>Whole bean coffee 250 g</v>
      </c>
      <c r="F112" s="22" t="str">
        <f aca="false">IF($B112="","",IFERROR(INDEX(Products!$C$2:$C$201,MATCH($B112,Products!$A$2:$A$201,0)),""))</f>
        <v>Coffee</v>
      </c>
      <c r="G112" s="17" t="n">
        <f aca="false">IF($B112="","",IFERROR(INDEX(Products!$D$2:$D$201,MATCH($B112,Products!$A$2:$A$201,0)),0))</f>
        <v>9.5</v>
      </c>
      <c r="H112" s="17" t="n">
        <f aca="false">IF($B112="","",C112*G112*(1-D112))</f>
        <v>19</v>
      </c>
      <c r="I112" s="17" t="n">
        <f aca="false">IF($B112="","",C112*IFERROR(INDEX(Products!$E$2:$E$201,MATCH($B112,Products!$A$2:$A$201,0)),0))</f>
        <v>9</v>
      </c>
      <c r="J112" s="17" t="n">
        <f aca="false">IF($B112="","",H112-I112)</f>
        <v>10</v>
      </c>
      <c r="K112" s="16" t="n">
        <f aca="false">IF($A112="","",DATE(YEAR($A112),MONTH($A112),1))</f>
        <v>46235</v>
      </c>
    </row>
    <row r="113" customFormat="false" ht="15" hidden="false" customHeight="false" outlineLevel="0" collapsed="false">
      <c r="A113" s="25" t="n">
        <v>46244</v>
      </c>
      <c r="B113" s="19" t="s">
        <v>40</v>
      </c>
      <c r="C113" s="19" t="n">
        <v>2</v>
      </c>
      <c r="D113" s="26" t="n">
        <v>0</v>
      </c>
      <c r="E113" s="27" t="str">
        <f aca="false">IF($B113="","",IFERROR(INDEX(Products!$B$2:$B$201,MATCH($B113,Products!$A$2:$A$201,0)),"Unknown code"))</f>
        <v>Whole bean coffee 250 g</v>
      </c>
      <c r="F113" s="22" t="str">
        <f aca="false">IF($B113="","",IFERROR(INDEX(Products!$C$2:$C$201,MATCH($B113,Products!$A$2:$A$201,0)),""))</f>
        <v>Coffee</v>
      </c>
      <c r="G113" s="17" t="n">
        <f aca="false">IF($B113="","",IFERROR(INDEX(Products!$D$2:$D$201,MATCH($B113,Products!$A$2:$A$201,0)),0))</f>
        <v>9.5</v>
      </c>
      <c r="H113" s="17" t="n">
        <f aca="false">IF($B113="","",C113*G113*(1-D113))</f>
        <v>19</v>
      </c>
      <c r="I113" s="17" t="n">
        <f aca="false">IF($B113="","",C113*IFERROR(INDEX(Products!$E$2:$E$201,MATCH($B113,Products!$A$2:$A$201,0)),0))</f>
        <v>9</v>
      </c>
      <c r="J113" s="17" t="n">
        <f aca="false">IF($B113="","",H113-I113)</f>
        <v>10</v>
      </c>
      <c r="K113" s="16" t="n">
        <f aca="false">IF($A113="","",DATE(YEAR($A113),MONTH($A113),1))</f>
        <v>46235</v>
      </c>
    </row>
    <row r="114" customFormat="false" ht="15" hidden="false" customHeight="false" outlineLevel="0" collapsed="false">
      <c r="A114" s="25" t="n">
        <v>46246</v>
      </c>
      <c r="B114" s="19" t="s">
        <v>44</v>
      </c>
      <c r="C114" s="19" t="n">
        <v>2</v>
      </c>
      <c r="D114" s="26" t="n">
        <v>0</v>
      </c>
      <c r="E114" s="27" t="str">
        <f aca="false">IF($B114="","",IFERROR(INDEX(Products!$B$2:$B$201,MATCH($B114,Products!$A$2:$A$201,0)),"Unknown code"))</f>
        <v>Specialty coffee 250 g</v>
      </c>
      <c r="F114" s="22" t="str">
        <f aca="false">IF($B114="","",IFERROR(INDEX(Products!$C$2:$C$201,MATCH($B114,Products!$A$2:$A$201,0)),""))</f>
        <v>Coffee</v>
      </c>
      <c r="G114" s="17" t="n">
        <f aca="false">IF($B114="","",IFERROR(INDEX(Products!$D$2:$D$201,MATCH($B114,Products!$A$2:$A$201,0)),0))</f>
        <v>14</v>
      </c>
      <c r="H114" s="17" t="n">
        <f aca="false">IF($B114="","",C114*G114*(1-D114))</f>
        <v>28</v>
      </c>
      <c r="I114" s="17" t="n">
        <f aca="false">IF($B114="","",C114*IFERROR(INDEX(Products!$E$2:$E$201,MATCH($B114,Products!$A$2:$A$201,0)),0))</f>
        <v>13.8</v>
      </c>
      <c r="J114" s="17" t="n">
        <f aca="false">IF($B114="","",H114-I114)</f>
        <v>14.2</v>
      </c>
      <c r="K114" s="16" t="n">
        <f aca="false">IF($A114="","",DATE(YEAR($A114),MONTH($A114),1))</f>
        <v>46235</v>
      </c>
    </row>
    <row r="115" customFormat="false" ht="15" hidden="false" customHeight="false" outlineLevel="0" collapsed="false">
      <c r="A115" s="25" t="n">
        <v>46246</v>
      </c>
      <c r="B115" s="19" t="s">
        <v>58</v>
      </c>
      <c r="C115" s="19" t="n">
        <v>2</v>
      </c>
      <c r="D115" s="26" t="n">
        <v>0</v>
      </c>
      <c r="E115" s="27" t="str">
        <f aca="false">IF($B115="","",IFERROR(INDEX(Products!$B$2:$B$201,MATCH($B115,Products!$A$2:$A$201,0)),"Unknown code"))</f>
        <v>Oat cookies (6 pcs)</v>
      </c>
      <c r="F115" s="22" t="str">
        <f aca="false">IF($B115="","",IFERROR(INDEX(Products!$C$2:$C$201,MATCH($B115,Products!$A$2:$A$201,0)),""))</f>
        <v>Snacks</v>
      </c>
      <c r="G115" s="17" t="n">
        <f aca="false">IF($B115="","",IFERROR(INDEX(Products!$D$2:$D$201,MATCH($B115,Products!$A$2:$A$201,0)),0))</f>
        <v>3.8</v>
      </c>
      <c r="H115" s="17" t="n">
        <f aca="false">IF($B115="","",C115*G115*(1-D115))</f>
        <v>7.6</v>
      </c>
      <c r="I115" s="17" t="n">
        <f aca="false">IF($B115="","",C115*IFERROR(INDEX(Products!$E$2:$E$201,MATCH($B115,Products!$A$2:$A$201,0)),0))</f>
        <v>2.8</v>
      </c>
      <c r="J115" s="17" t="n">
        <f aca="false">IF($B115="","",H115-I115)</f>
        <v>4.8</v>
      </c>
      <c r="K115" s="16" t="n">
        <f aca="false">IF($A115="","",DATE(YEAR($A115),MONTH($A115),1))</f>
        <v>46235</v>
      </c>
    </row>
    <row r="116" customFormat="false" ht="15" hidden="false" customHeight="false" outlineLevel="0" collapsed="false">
      <c r="A116" s="25" t="n">
        <v>46247</v>
      </c>
      <c r="B116" s="19" t="s">
        <v>40</v>
      </c>
      <c r="C116" s="19" t="n">
        <v>2</v>
      </c>
      <c r="D116" s="26" t="n">
        <v>0</v>
      </c>
      <c r="E116" s="27" t="str">
        <f aca="false">IF($B116="","",IFERROR(INDEX(Products!$B$2:$B$201,MATCH($B116,Products!$A$2:$A$201,0)),"Unknown code"))</f>
        <v>Whole bean coffee 250 g</v>
      </c>
      <c r="F116" s="22" t="str">
        <f aca="false">IF($B116="","",IFERROR(INDEX(Products!$C$2:$C$201,MATCH($B116,Products!$A$2:$A$201,0)),""))</f>
        <v>Coffee</v>
      </c>
      <c r="G116" s="17" t="n">
        <f aca="false">IF($B116="","",IFERROR(INDEX(Products!$D$2:$D$201,MATCH($B116,Products!$A$2:$A$201,0)),0))</f>
        <v>9.5</v>
      </c>
      <c r="H116" s="17" t="n">
        <f aca="false">IF($B116="","",C116*G116*(1-D116))</f>
        <v>19</v>
      </c>
      <c r="I116" s="17" t="n">
        <f aca="false">IF($B116="","",C116*IFERROR(INDEX(Products!$E$2:$E$201,MATCH($B116,Products!$A$2:$A$201,0)),0))</f>
        <v>9</v>
      </c>
      <c r="J116" s="17" t="n">
        <f aca="false">IF($B116="","",H116-I116)</f>
        <v>10</v>
      </c>
      <c r="K116" s="16" t="n">
        <f aca="false">IF($A116="","",DATE(YEAR($A116),MONTH($A116),1))</f>
        <v>46235</v>
      </c>
    </row>
    <row r="117" customFormat="false" ht="15" hidden="false" customHeight="false" outlineLevel="0" collapsed="false">
      <c r="A117" s="25" t="n">
        <v>46247</v>
      </c>
      <c r="B117" s="19" t="s">
        <v>62</v>
      </c>
      <c r="C117" s="19" t="n">
        <v>1</v>
      </c>
      <c r="D117" s="26" t="n">
        <v>0</v>
      </c>
      <c r="E117" s="27" t="str">
        <f aca="false">IF($B117="","",IFERROR(INDEX(Products!$B$2:$B$201,MATCH($B117,Products!$A$2:$A$201,0)),"Unknown code"))</f>
        <v>Granola 300 g</v>
      </c>
      <c r="F117" s="22" t="str">
        <f aca="false">IF($B117="","",IFERROR(INDEX(Products!$C$2:$C$201,MATCH($B117,Products!$A$2:$A$201,0)),""))</f>
        <v>Snacks</v>
      </c>
      <c r="G117" s="17" t="n">
        <f aca="false">IF($B117="","",IFERROR(INDEX(Products!$D$2:$D$201,MATCH($B117,Products!$A$2:$A$201,0)),0))</f>
        <v>7</v>
      </c>
      <c r="H117" s="17" t="n">
        <f aca="false">IF($B117="","",C117*G117*(1-D117))</f>
        <v>7</v>
      </c>
      <c r="I117" s="17" t="n">
        <f aca="false">IF($B117="","",C117*IFERROR(INDEX(Products!$E$2:$E$201,MATCH($B117,Products!$A$2:$A$201,0)),0))</f>
        <v>2.9</v>
      </c>
      <c r="J117" s="17" t="n">
        <f aca="false">IF($B117="","",H117-I117)</f>
        <v>4.1</v>
      </c>
      <c r="K117" s="16" t="n">
        <f aca="false">IF($A117="","",DATE(YEAR($A117),MONTH($A117),1))</f>
        <v>46235</v>
      </c>
    </row>
    <row r="118" customFormat="false" ht="15" hidden="false" customHeight="false" outlineLevel="0" collapsed="false">
      <c r="A118" s="25" t="n">
        <v>46249</v>
      </c>
      <c r="B118" s="19" t="s">
        <v>42</v>
      </c>
      <c r="C118" s="19" t="n">
        <v>1</v>
      </c>
      <c r="D118" s="26" t="n">
        <v>0.05</v>
      </c>
      <c r="E118" s="27" t="str">
        <f aca="false">IF($B118="","",IFERROR(INDEX(Products!$B$2:$B$201,MATCH($B118,Products!$A$2:$A$201,0)),"Unknown code"))</f>
        <v>Ground coffee 500 g</v>
      </c>
      <c r="F118" s="22" t="str">
        <f aca="false">IF($B118="","",IFERROR(INDEX(Products!$C$2:$C$201,MATCH($B118,Products!$A$2:$A$201,0)),""))</f>
        <v>Coffee</v>
      </c>
      <c r="G118" s="17" t="n">
        <f aca="false">IF($B118="","",IFERROR(INDEX(Products!$D$2:$D$201,MATCH($B118,Products!$A$2:$A$201,0)),0))</f>
        <v>16</v>
      </c>
      <c r="H118" s="17" t="n">
        <f aca="false">IF($B118="","",C118*G118*(1-D118))</f>
        <v>15.2</v>
      </c>
      <c r="I118" s="17" t="n">
        <f aca="false">IF($B118="","",C118*IFERROR(INDEX(Products!$E$2:$E$201,MATCH($B118,Products!$A$2:$A$201,0)),0))</f>
        <v>7.8</v>
      </c>
      <c r="J118" s="17" t="n">
        <f aca="false">IF($B118="","",H118-I118)</f>
        <v>7.4</v>
      </c>
      <c r="K118" s="16" t="n">
        <f aca="false">IF($A118="","",DATE(YEAR($A118),MONTH($A118),1))</f>
        <v>46235</v>
      </c>
    </row>
    <row r="119" customFormat="false" ht="15" hidden="false" customHeight="false" outlineLevel="0" collapsed="false">
      <c r="A119" s="25" t="n">
        <v>46251</v>
      </c>
      <c r="B119" s="19" t="s">
        <v>40</v>
      </c>
      <c r="C119" s="19" t="n">
        <v>3</v>
      </c>
      <c r="D119" s="26" t="n">
        <v>0</v>
      </c>
      <c r="E119" s="27" t="str">
        <f aca="false">IF($B119="","",IFERROR(INDEX(Products!$B$2:$B$201,MATCH($B119,Products!$A$2:$A$201,0)),"Unknown code"))</f>
        <v>Whole bean coffee 250 g</v>
      </c>
      <c r="F119" s="22" t="str">
        <f aca="false">IF($B119="","",IFERROR(INDEX(Products!$C$2:$C$201,MATCH($B119,Products!$A$2:$A$201,0)),""))</f>
        <v>Coffee</v>
      </c>
      <c r="G119" s="17" t="n">
        <f aca="false">IF($B119="","",IFERROR(INDEX(Products!$D$2:$D$201,MATCH($B119,Products!$A$2:$A$201,0)),0))</f>
        <v>9.5</v>
      </c>
      <c r="H119" s="17" t="n">
        <f aca="false">IF($B119="","",C119*G119*(1-D119))</f>
        <v>28.5</v>
      </c>
      <c r="I119" s="17" t="n">
        <f aca="false">IF($B119="","",C119*IFERROR(INDEX(Products!$E$2:$E$201,MATCH($B119,Products!$A$2:$A$201,0)),0))</f>
        <v>13.5</v>
      </c>
      <c r="J119" s="17" t="n">
        <f aca="false">IF($B119="","",H119-I119)</f>
        <v>15</v>
      </c>
      <c r="K119" s="16" t="n">
        <f aca="false">IF($A119="","",DATE(YEAR($A119),MONTH($A119),1))</f>
        <v>46235</v>
      </c>
    </row>
    <row r="120" customFormat="false" ht="15" hidden="false" customHeight="false" outlineLevel="0" collapsed="false">
      <c r="A120" s="25" t="n">
        <v>46253</v>
      </c>
      <c r="B120" s="19" t="s">
        <v>58</v>
      </c>
      <c r="C120" s="19" t="n">
        <v>1</v>
      </c>
      <c r="D120" s="26" t="n">
        <v>0</v>
      </c>
      <c r="E120" s="27" t="str">
        <f aca="false">IF($B120="","",IFERROR(INDEX(Products!$B$2:$B$201,MATCH($B120,Products!$A$2:$A$201,0)),"Unknown code"))</f>
        <v>Oat cookies (6 pcs)</v>
      </c>
      <c r="F120" s="22" t="str">
        <f aca="false">IF($B120="","",IFERROR(INDEX(Products!$C$2:$C$201,MATCH($B120,Products!$A$2:$A$201,0)),""))</f>
        <v>Snacks</v>
      </c>
      <c r="G120" s="17" t="n">
        <f aca="false">IF($B120="","",IFERROR(INDEX(Products!$D$2:$D$201,MATCH($B120,Products!$A$2:$A$201,0)),0))</f>
        <v>3.8</v>
      </c>
      <c r="H120" s="17" t="n">
        <f aca="false">IF($B120="","",C120*G120*(1-D120))</f>
        <v>3.8</v>
      </c>
      <c r="I120" s="17" t="n">
        <f aca="false">IF($B120="","",C120*IFERROR(INDEX(Products!$E$2:$E$201,MATCH($B120,Products!$A$2:$A$201,0)),0))</f>
        <v>1.4</v>
      </c>
      <c r="J120" s="17" t="n">
        <f aca="false">IF($B120="","",H120-I120)</f>
        <v>2.4</v>
      </c>
      <c r="K120" s="16" t="n">
        <f aca="false">IF($A120="","",DATE(YEAR($A120),MONTH($A120),1))</f>
        <v>46235</v>
      </c>
    </row>
    <row r="121" customFormat="false" ht="15" hidden="false" customHeight="false" outlineLevel="0" collapsed="false">
      <c r="A121" s="25" t="n">
        <v>46253</v>
      </c>
      <c r="B121" s="19" t="s">
        <v>54</v>
      </c>
      <c r="C121" s="19" t="n">
        <v>3</v>
      </c>
      <c r="D121" s="26" t="n">
        <v>0.1</v>
      </c>
      <c r="E121" s="27" t="str">
        <f aca="false">IF($B121="","",IFERROR(INDEX(Products!$B$2:$B$201,MATCH($B121,Products!$A$2:$A$201,0)),"Unknown code"))</f>
        <v>Paper filters (100 pcs)</v>
      </c>
      <c r="F121" s="22" t="str">
        <f aca="false">IF($B121="","",IFERROR(INDEX(Products!$C$2:$C$201,MATCH($B121,Products!$A$2:$A$201,0)),""))</f>
        <v>Accessories</v>
      </c>
      <c r="G121" s="17" t="n">
        <f aca="false">IF($B121="","",IFERROR(INDEX(Products!$D$2:$D$201,MATCH($B121,Products!$A$2:$A$201,0)),0))</f>
        <v>4.5</v>
      </c>
      <c r="H121" s="17" t="n">
        <f aca="false">IF($B121="","",C121*G121*(1-D121))</f>
        <v>12.15</v>
      </c>
      <c r="I121" s="17" t="n">
        <f aca="false">IF($B121="","",C121*IFERROR(INDEX(Products!$E$2:$E$201,MATCH($B121,Products!$A$2:$A$201,0)),0))</f>
        <v>5.1</v>
      </c>
      <c r="J121" s="17" t="n">
        <f aca="false">IF($B121="","",H121-I121)</f>
        <v>7.05</v>
      </c>
      <c r="K121" s="16" t="n">
        <f aca="false">IF($A121="","",DATE(YEAR($A121),MONTH($A121),1))</f>
        <v>46235</v>
      </c>
    </row>
    <row r="122" customFormat="false" ht="15" hidden="false" customHeight="false" outlineLevel="0" collapsed="false">
      <c r="A122" s="25" t="n">
        <v>46254</v>
      </c>
      <c r="B122" s="19" t="s">
        <v>62</v>
      </c>
      <c r="C122" s="19" t="n">
        <v>1</v>
      </c>
      <c r="D122" s="26" t="n">
        <v>0.05</v>
      </c>
      <c r="E122" s="27" t="str">
        <f aca="false">IF($B122="","",IFERROR(INDEX(Products!$B$2:$B$201,MATCH($B122,Products!$A$2:$A$201,0)),"Unknown code"))</f>
        <v>Granola 300 g</v>
      </c>
      <c r="F122" s="22" t="str">
        <f aca="false">IF($B122="","",IFERROR(INDEX(Products!$C$2:$C$201,MATCH($B122,Products!$A$2:$A$201,0)),""))</f>
        <v>Snacks</v>
      </c>
      <c r="G122" s="17" t="n">
        <f aca="false">IF($B122="","",IFERROR(INDEX(Products!$D$2:$D$201,MATCH($B122,Products!$A$2:$A$201,0)),0))</f>
        <v>7</v>
      </c>
      <c r="H122" s="17" t="n">
        <f aca="false">IF($B122="","",C122*G122*(1-D122))</f>
        <v>6.65</v>
      </c>
      <c r="I122" s="17" t="n">
        <f aca="false">IF($B122="","",C122*IFERROR(INDEX(Products!$E$2:$E$201,MATCH($B122,Products!$A$2:$A$201,0)),0))</f>
        <v>2.9</v>
      </c>
      <c r="J122" s="17" t="n">
        <f aca="false">IF($B122="","",H122-I122)</f>
        <v>3.75</v>
      </c>
      <c r="K122" s="16" t="n">
        <f aca="false">IF($A122="","",DATE(YEAR($A122),MONTH($A122),1))</f>
        <v>46235</v>
      </c>
    </row>
    <row r="123" customFormat="false" ht="15" hidden="false" customHeight="false" outlineLevel="0" collapsed="false">
      <c r="A123" s="25" t="n">
        <v>46255</v>
      </c>
      <c r="B123" s="19" t="s">
        <v>54</v>
      </c>
      <c r="C123" s="19" t="n">
        <v>2</v>
      </c>
      <c r="D123" s="26" t="n">
        <v>0</v>
      </c>
      <c r="E123" s="27" t="str">
        <f aca="false">IF($B123="","",IFERROR(INDEX(Products!$B$2:$B$201,MATCH($B123,Products!$A$2:$A$201,0)),"Unknown code"))</f>
        <v>Paper filters (100 pcs)</v>
      </c>
      <c r="F123" s="22" t="str">
        <f aca="false">IF($B123="","",IFERROR(INDEX(Products!$C$2:$C$201,MATCH($B123,Products!$A$2:$A$201,0)),""))</f>
        <v>Accessories</v>
      </c>
      <c r="G123" s="17" t="n">
        <f aca="false">IF($B123="","",IFERROR(INDEX(Products!$D$2:$D$201,MATCH($B123,Products!$A$2:$A$201,0)),0))</f>
        <v>4.5</v>
      </c>
      <c r="H123" s="17" t="n">
        <f aca="false">IF($B123="","",C123*G123*(1-D123))</f>
        <v>9</v>
      </c>
      <c r="I123" s="17" t="n">
        <f aca="false">IF($B123="","",C123*IFERROR(INDEX(Products!$E$2:$E$201,MATCH($B123,Products!$A$2:$A$201,0)),0))</f>
        <v>3.4</v>
      </c>
      <c r="J123" s="17" t="n">
        <f aca="false">IF($B123="","",H123-I123)</f>
        <v>5.6</v>
      </c>
      <c r="K123" s="16" t="n">
        <f aca="false">IF($A123="","",DATE(YEAR($A123),MONTH($A123),1))</f>
        <v>46235</v>
      </c>
    </row>
    <row r="124" customFormat="false" ht="15" hidden="false" customHeight="false" outlineLevel="0" collapsed="false">
      <c r="A124" s="25" t="n">
        <v>46262</v>
      </c>
      <c r="B124" s="19" t="s">
        <v>52</v>
      </c>
      <c r="C124" s="19" t="n">
        <v>3</v>
      </c>
      <c r="D124" s="26" t="n">
        <v>0</v>
      </c>
      <c r="E124" s="27" t="str">
        <f aca="false">IF($B124="","",IFERROR(INDEX(Products!$B$2:$B$201,MATCH($B124,Products!$A$2:$A$201,0)),"Unknown code"))</f>
        <v>Steel tumbler 500 ml</v>
      </c>
      <c r="F124" s="22" t="str">
        <f aca="false">IF($B124="","",IFERROR(INDEX(Products!$C$2:$C$201,MATCH($B124,Products!$A$2:$A$201,0)),""))</f>
        <v>Accessories</v>
      </c>
      <c r="G124" s="17" t="n">
        <f aca="false">IF($B124="","",IFERROR(INDEX(Products!$D$2:$D$201,MATCH($B124,Products!$A$2:$A$201,0)),0))</f>
        <v>19</v>
      </c>
      <c r="H124" s="17" t="n">
        <f aca="false">IF($B124="","",C124*G124*(1-D124))</f>
        <v>57</v>
      </c>
      <c r="I124" s="17" t="n">
        <f aca="false">IF($B124="","",C124*IFERROR(INDEX(Products!$E$2:$E$201,MATCH($B124,Products!$A$2:$A$201,0)),0))</f>
        <v>27</v>
      </c>
      <c r="J124" s="17" t="n">
        <f aca="false">IF($B124="","",H124-I124)</f>
        <v>30</v>
      </c>
      <c r="K124" s="16" t="n">
        <f aca="false">IF($A124="","",DATE(YEAR($A124),MONTH($A124),1))</f>
        <v>46235</v>
      </c>
    </row>
    <row r="125" customFormat="false" ht="15" hidden="false" customHeight="false" outlineLevel="0" collapsed="false">
      <c r="A125" s="25" t="n">
        <v>46263</v>
      </c>
      <c r="B125" s="19" t="s">
        <v>40</v>
      </c>
      <c r="C125" s="19" t="n">
        <v>2</v>
      </c>
      <c r="D125" s="26" t="n">
        <v>0</v>
      </c>
      <c r="E125" s="27" t="str">
        <f aca="false">IF($B125="","",IFERROR(INDEX(Products!$B$2:$B$201,MATCH($B125,Products!$A$2:$A$201,0)),"Unknown code"))</f>
        <v>Whole bean coffee 250 g</v>
      </c>
      <c r="F125" s="22" t="str">
        <f aca="false">IF($B125="","",IFERROR(INDEX(Products!$C$2:$C$201,MATCH($B125,Products!$A$2:$A$201,0)),""))</f>
        <v>Coffee</v>
      </c>
      <c r="G125" s="17" t="n">
        <f aca="false">IF($B125="","",IFERROR(INDEX(Products!$D$2:$D$201,MATCH($B125,Products!$A$2:$A$201,0)),0))</f>
        <v>9.5</v>
      </c>
      <c r="H125" s="17" t="n">
        <f aca="false">IF($B125="","",C125*G125*(1-D125))</f>
        <v>19</v>
      </c>
      <c r="I125" s="17" t="n">
        <f aca="false">IF($B125="","",C125*IFERROR(INDEX(Products!$E$2:$E$201,MATCH($B125,Products!$A$2:$A$201,0)),0))</f>
        <v>9</v>
      </c>
      <c r="J125" s="17" t="n">
        <f aca="false">IF($B125="","",H125-I125)</f>
        <v>10</v>
      </c>
      <c r="K125" s="16" t="n">
        <f aca="false">IF($A125="","",DATE(YEAR($A125),MONTH($A125),1))</f>
        <v>46235</v>
      </c>
    </row>
    <row r="126" customFormat="false" ht="15" hidden="false" customHeight="false" outlineLevel="0" collapsed="false">
      <c r="A126" s="25" t="n">
        <v>46264</v>
      </c>
      <c r="B126" s="19" t="s">
        <v>62</v>
      </c>
      <c r="C126" s="19" t="n">
        <v>3</v>
      </c>
      <c r="D126" s="26" t="n">
        <v>0</v>
      </c>
      <c r="E126" s="27" t="str">
        <f aca="false">IF($B126="","",IFERROR(INDEX(Products!$B$2:$B$201,MATCH($B126,Products!$A$2:$A$201,0)),"Unknown code"))</f>
        <v>Granola 300 g</v>
      </c>
      <c r="F126" s="22" t="str">
        <f aca="false">IF($B126="","",IFERROR(INDEX(Products!$C$2:$C$201,MATCH($B126,Products!$A$2:$A$201,0)),""))</f>
        <v>Snacks</v>
      </c>
      <c r="G126" s="17" t="n">
        <f aca="false">IF($B126="","",IFERROR(INDEX(Products!$D$2:$D$201,MATCH($B126,Products!$A$2:$A$201,0)),0))</f>
        <v>7</v>
      </c>
      <c r="H126" s="17" t="n">
        <f aca="false">IF($B126="","",C126*G126*(1-D126))</f>
        <v>21</v>
      </c>
      <c r="I126" s="17" t="n">
        <f aca="false">IF($B126="","",C126*IFERROR(INDEX(Products!$E$2:$E$201,MATCH($B126,Products!$A$2:$A$201,0)),0))</f>
        <v>8.7</v>
      </c>
      <c r="J126" s="17" t="n">
        <f aca="false">IF($B126="","",H126-I126)</f>
        <v>12.3</v>
      </c>
      <c r="K126" s="16" t="n">
        <f aca="false">IF($A126="","",DATE(YEAR($A126),MONTH($A126),1))</f>
        <v>46235</v>
      </c>
    </row>
    <row r="127" customFormat="false" ht="15" hidden="false" customHeight="false" outlineLevel="0" collapsed="false">
      <c r="A127" s="25" t="n">
        <v>46264</v>
      </c>
      <c r="B127" s="19" t="s">
        <v>58</v>
      </c>
      <c r="C127" s="19" t="n">
        <v>2</v>
      </c>
      <c r="D127" s="26" t="n">
        <v>0</v>
      </c>
      <c r="E127" s="27" t="str">
        <f aca="false">IF($B127="","",IFERROR(INDEX(Products!$B$2:$B$201,MATCH($B127,Products!$A$2:$A$201,0)),"Unknown code"))</f>
        <v>Oat cookies (6 pcs)</v>
      </c>
      <c r="F127" s="22" t="str">
        <f aca="false">IF($B127="","",IFERROR(INDEX(Products!$C$2:$C$201,MATCH($B127,Products!$A$2:$A$201,0)),""))</f>
        <v>Snacks</v>
      </c>
      <c r="G127" s="17" t="n">
        <f aca="false">IF($B127="","",IFERROR(INDEX(Products!$D$2:$D$201,MATCH($B127,Products!$A$2:$A$201,0)),0))</f>
        <v>3.8</v>
      </c>
      <c r="H127" s="17" t="n">
        <f aca="false">IF($B127="","",C127*G127*(1-D127))</f>
        <v>7.6</v>
      </c>
      <c r="I127" s="17" t="n">
        <f aca="false">IF($B127="","",C127*IFERROR(INDEX(Products!$E$2:$E$201,MATCH($B127,Products!$A$2:$A$201,0)),0))</f>
        <v>2.8</v>
      </c>
      <c r="J127" s="17" t="n">
        <f aca="false">IF($B127="","",H127-I127)</f>
        <v>4.8</v>
      </c>
      <c r="K127" s="16" t="n">
        <f aca="false">IF($A127="","",DATE(YEAR($A127),MONTH($A127),1))</f>
        <v>46235</v>
      </c>
    </row>
    <row r="128" customFormat="false" ht="15" hidden="false" customHeight="false" outlineLevel="0" collapsed="false">
      <c r="A128" s="25" t="n">
        <v>46266</v>
      </c>
      <c r="B128" s="19" t="s">
        <v>48</v>
      </c>
      <c r="C128" s="19" t="n">
        <v>3</v>
      </c>
      <c r="D128" s="26" t="n">
        <v>0.05</v>
      </c>
      <c r="E128" s="27" t="str">
        <f aca="false">IF($B128="","",IFERROR(INDEX(Products!$B$2:$B$201,MATCH($B128,Products!$A$2:$A$201,0)),"Unknown code"))</f>
        <v>Chai tea 50 g</v>
      </c>
      <c r="F128" s="22" t="str">
        <f aca="false">IF($B128="","",IFERROR(INDEX(Products!$C$2:$C$201,MATCH($B128,Products!$A$2:$A$201,0)),""))</f>
        <v>Tea</v>
      </c>
      <c r="G128" s="17" t="n">
        <f aca="false">IF($B128="","",IFERROR(INDEX(Products!$D$2:$D$201,MATCH($B128,Products!$A$2:$A$201,0)),0))</f>
        <v>6.5</v>
      </c>
      <c r="H128" s="17" t="n">
        <f aca="false">IF($B128="","",C128*G128*(1-D128))</f>
        <v>18.525</v>
      </c>
      <c r="I128" s="17" t="n">
        <f aca="false">IF($B128="","",C128*IFERROR(INDEX(Products!$E$2:$E$201,MATCH($B128,Products!$A$2:$A$201,0)),0))</f>
        <v>7.8</v>
      </c>
      <c r="J128" s="17" t="n">
        <f aca="false">IF($B128="","",H128-I128)</f>
        <v>10.725</v>
      </c>
      <c r="K128" s="16" t="n">
        <f aca="false">IF($A128="","",DATE(YEAR($A128),MONTH($A128),1))</f>
        <v>46266</v>
      </c>
    </row>
    <row r="129" customFormat="false" ht="15" hidden="false" customHeight="false" outlineLevel="0" collapsed="false">
      <c r="A129" s="25" t="n">
        <v>46266</v>
      </c>
      <c r="B129" s="19" t="s">
        <v>44</v>
      </c>
      <c r="C129" s="19" t="n">
        <v>1</v>
      </c>
      <c r="D129" s="26" t="n">
        <v>0</v>
      </c>
      <c r="E129" s="27" t="str">
        <f aca="false">IF($B129="","",IFERROR(INDEX(Products!$B$2:$B$201,MATCH($B129,Products!$A$2:$A$201,0)),"Unknown code"))</f>
        <v>Specialty coffee 250 g</v>
      </c>
      <c r="F129" s="22" t="str">
        <f aca="false">IF($B129="","",IFERROR(INDEX(Products!$C$2:$C$201,MATCH($B129,Products!$A$2:$A$201,0)),""))</f>
        <v>Coffee</v>
      </c>
      <c r="G129" s="17" t="n">
        <f aca="false">IF($B129="","",IFERROR(INDEX(Products!$D$2:$D$201,MATCH($B129,Products!$A$2:$A$201,0)),0))</f>
        <v>14</v>
      </c>
      <c r="H129" s="17" t="n">
        <f aca="false">IF($B129="","",C129*G129*(1-D129))</f>
        <v>14</v>
      </c>
      <c r="I129" s="17" t="n">
        <f aca="false">IF($B129="","",C129*IFERROR(INDEX(Products!$E$2:$E$201,MATCH($B129,Products!$A$2:$A$201,0)),0))</f>
        <v>6.9</v>
      </c>
      <c r="J129" s="17" t="n">
        <f aca="false">IF($B129="","",H129-I129)</f>
        <v>7.1</v>
      </c>
      <c r="K129" s="16" t="n">
        <f aca="false">IF($A129="","",DATE(YEAR($A129),MONTH($A129),1))</f>
        <v>46266</v>
      </c>
    </row>
    <row r="130" customFormat="false" ht="15" hidden="false" customHeight="false" outlineLevel="0" collapsed="false">
      <c r="A130" s="25" t="n">
        <v>46268</v>
      </c>
      <c r="B130" s="19" t="s">
        <v>42</v>
      </c>
      <c r="C130" s="19" t="n">
        <v>2</v>
      </c>
      <c r="D130" s="26" t="n">
        <v>0.05</v>
      </c>
      <c r="E130" s="27" t="str">
        <f aca="false">IF($B130="","",IFERROR(INDEX(Products!$B$2:$B$201,MATCH($B130,Products!$A$2:$A$201,0)),"Unknown code"))</f>
        <v>Ground coffee 500 g</v>
      </c>
      <c r="F130" s="22" t="str">
        <f aca="false">IF($B130="","",IFERROR(INDEX(Products!$C$2:$C$201,MATCH($B130,Products!$A$2:$A$201,0)),""))</f>
        <v>Coffee</v>
      </c>
      <c r="G130" s="17" t="n">
        <f aca="false">IF($B130="","",IFERROR(INDEX(Products!$D$2:$D$201,MATCH($B130,Products!$A$2:$A$201,0)),0))</f>
        <v>16</v>
      </c>
      <c r="H130" s="17" t="n">
        <f aca="false">IF($B130="","",C130*G130*(1-D130))</f>
        <v>30.4</v>
      </c>
      <c r="I130" s="17" t="n">
        <f aca="false">IF($B130="","",C130*IFERROR(INDEX(Products!$E$2:$E$201,MATCH($B130,Products!$A$2:$A$201,0)),0))</f>
        <v>15.6</v>
      </c>
      <c r="J130" s="17" t="n">
        <f aca="false">IF($B130="","",H130-I130)</f>
        <v>14.8</v>
      </c>
      <c r="K130" s="16" t="n">
        <f aca="false">IF($A130="","",DATE(YEAR($A130),MONTH($A130),1))</f>
        <v>46266</v>
      </c>
    </row>
    <row r="131" customFormat="false" ht="15" hidden="false" customHeight="false" outlineLevel="0" collapsed="false">
      <c r="A131" s="25" t="n">
        <v>46268</v>
      </c>
      <c r="B131" s="19" t="s">
        <v>54</v>
      </c>
      <c r="C131" s="19" t="n">
        <v>2</v>
      </c>
      <c r="D131" s="26" t="n">
        <v>0</v>
      </c>
      <c r="E131" s="27" t="str">
        <f aca="false">IF($B131="","",IFERROR(INDEX(Products!$B$2:$B$201,MATCH($B131,Products!$A$2:$A$201,0)),"Unknown code"))</f>
        <v>Paper filters (100 pcs)</v>
      </c>
      <c r="F131" s="22" t="str">
        <f aca="false">IF($B131="","",IFERROR(INDEX(Products!$C$2:$C$201,MATCH($B131,Products!$A$2:$A$201,0)),""))</f>
        <v>Accessories</v>
      </c>
      <c r="G131" s="17" t="n">
        <f aca="false">IF($B131="","",IFERROR(INDEX(Products!$D$2:$D$201,MATCH($B131,Products!$A$2:$A$201,0)),0))</f>
        <v>4.5</v>
      </c>
      <c r="H131" s="17" t="n">
        <f aca="false">IF($B131="","",C131*G131*(1-D131))</f>
        <v>9</v>
      </c>
      <c r="I131" s="17" t="n">
        <f aca="false">IF($B131="","",C131*IFERROR(INDEX(Products!$E$2:$E$201,MATCH($B131,Products!$A$2:$A$201,0)),0))</f>
        <v>3.4</v>
      </c>
      <c r="J131" s="17" t="n">
        <f aca="false">IF($B131="","",H131-I131)</f>
        <v>5.6</v>
      </c>
      <c r="K131" s="16" t="n">
        <f aca="false">IF($A131="","",DATE(YEAR($A131),MONTH($A131),1))</f>
        <v>46266</v>
      </c>
    </row>
    <row r="132" customFormat="false" ht="15" hidden="false" customHeight="false" outlineLevel="0" collapsed="false">
      <c r="A132" s="25" t="n">
        <v>46269</v>
      </c>
      <c r="B132" s="19" t="s">
        <v>60</v>
      </c>
      <c r="C132" s="19" t="n">
        <v>1</v>
      </c>
      <c r="D132" s="26" t="n">
        <v>0</v>
      </c>
      <c r="E132" s="27" t="str">
        <f aca="false">IF($B132="","",IFERROR(INDEX(Products!$B$2:$B$201,MATCH($B132,Products!$A$2:$A$201,0)),"Unknown code"))</f>
        <v>Dark chocolate bar 70%</v>
      </c>
      <c r="F132" s="22" t="str">
        <f aca="false">IF($B132="","",IFERROR(INDEX(Products!$C$2:$C$201,MATCH($B132,Products!$A$2:$A$201,0)),""))</f>
        <v>Snacks</v>
      </c>
      <c r="G132" s="17" t="n">
        <f aca="false">IF($B132="","",IFERROR(INDEX(Products!$D$2:$D$201,MATCH($B132,Products!$A$2:$A$201,0)),0))</f>
        <v>3.2</v>
      </c>
      <c r="H132" s="17" t="n">
        <f aca="false">IF($B132="","",C132*G132*(1-D132))</f>
        <v>3.2</v>
      </c>
      <c r="I132" s="17" t="n">
        <f aca="false">IF($B132="","",C132*IFERROR(INDEX(Products!$E$2:$E$201,MATCH($B132,Products!$A$2:$A$201,0)),0))</f>
        <v>1.3</v>
      </c>
      <c r="J132" s="17" t="n">
        <f aca="false">IF($B132="","",H132-I132)</f>
        <v>1.9</v>
      </c>
      <c r="K132" s="16" t="n">
        <f aca="false">IF($A132="","",DATE(YEAR($A132),MONTH($A132),1))</f>
        <v>46266</v>
      </c>
    </row>
    <row r="133" customFormat="false" ht="15" hidden="false" customHeight="false" outlineLevel="0" collapsed="false">
      <c r="A133" s="25" t="n">
        <v>46269</v>
      </c>
      <c r="B133" s="19" t="s">
        <v>42</v>
      </c>
      <c r="C133" s="19" t="n">
        <v>1</v>
      </c>
      <c r="D133" s="26" t="n">
        <v>0</v>
      </c>
      <c r="E133" s="27" t="str">
        <f aca="false">IF($B133="","",IFERROR(INDEX(Products!$B$2:$B$201,MATCH($B133,Products!$A$2:$A$201,0)),"Unknown code"))</f>
        <v>Ground coffee 500 g</v>
      </c>
      <c r="F133" s="22" t="str">
        <f aca="false">IF($B133="","",IFERROR(INDEX(Products!$C$2:$C$201,MATCH($B133,Products!$A$2:$A$201,0)),""))</f>
        <v>Coffee</v>
      </c>
      <c r="G133" s="17" t="n">
        <f aca="false">IF($B133="","",IFERROR(INDEX(Products!$D$2:$D$201,MATCH($B133,Products!$A$2:$A$201,0)),0))</f>
        <v>16</v>
      </c>
      <c r="H133" s="17" t="n">
        <f aca="false">IF($B133="","",C133*G133*(1-D133))</f>
        <v>16</v>
      </c>
      <c r="I133" s="17" t="n">
        <f aca="false">IF($B133="","",C133*IFERROR(INDEX(Products!$E$2:$E$201,MATCH($B133,Products!$A$2:$A$201,0)),0))</f>
        <v>7.8</v>
      </c>
      <c r="J133" s="17" t="n">
        <f aca="false">IF($B133="","",H133-I133)</f>
        <v>8.2</v>
      </c>
      <c r="K133" s="16" t="n">
        <f aca="false">IF($A133="","",DATE(YEAR($A133),MONTH($A133),1))</f>
        <v>46266</v>
      </c>
    </row>
    <row r="134" customFormat="false" ht="15" hidden="false" customHeight="false" outlineLevel="0" collapsed="false">
      <c r="A134" s="25" t="n">
        <v>46271</v>
      </c>
      <c r="B134" s="19" t="s">
        <v>52</v>
      </c>
      <c r="C134" s="19" t="n">
        <v>2</v>
      </c>
      <c r="D134" s="26" t="n">
        <v>0</v>
      </c>
      <c r="E134" s="27" t="str">
        <f aca="false">IF($B134="","",IFERROR(INDEX(Products!$B$2:$B$201,MATCH($B134,Products!$A$2:$A$201,0)),"Unknown code"))</f>
        <v>Steel tumbler 500 ml</v>
      </c>
      <c r="F134" s="22" t="str">
        <f aca="false">IF($B134="","",IFERROR(INDEX(Products!$C$2:$C$201,MATCH($B134,Products!$A$2:$A$201,0)),""))</f>
        <v>Accessories</v>
      </c>
      <c r="G134" s="17" t="n">
        <f aca="false">IF($B134="","",IFERROR(INDEX(Products!$D$2:$D$201,MATCH($B134,Products!$A$2:$A$201,0)),0))</f>
        <v>19</v>
      </c>
      <c r="H134" s="17" t="n">
        <f aca="false">IF($B134="","",C134*G134*(1-D134))</f>
        <v>38</v>
      </c>
      <c r="I134" s="17" t="n">
        <f aca="false">IF($B134="","",C134*IFERROR(INDEX(Products!$E$2:$E$201,MATCH($B134,Products!$A$2:$A$201,0)),0))</f>
        <v>18</v>
      </c>
      <c r="J134" s="17" t="n">
        <f aca="false">IF($B134="","",H134-I134)</f>
        <v>20</v>
      </c>
      <c r="K134" s="16" t="n">
        <f aca="false">IF($A134="","",DATE(YEAR($A134),MONTH($A134),1))</f>
        <v>46266</v>
      </c>
    </row>
    <row r="135" customFormat="false" ht="15" hidden="false" customHeight="false" outlineLevel="0" collapsed="false">
      <c r="A135" s="25" t="n">
        <v>46272</v>
      </c>
      <c r="B135" s="19" t="s">
        <v>58</v>
      </c>
      <c r="C135" s="19" t="n">
        <v>2</v>
      </c>
      <c r="D135" s="26" t="n">
        <v>0.05</v>
      </c>
      <c r="E135" s="27" t="str">
        <f aca="false">IF($B135="","",IFERROR(INDEX(Products!$B$2:$B$201,MATCH($B135,Products!$A$2:$A$201,0)),"Unknown code"))</f>
        <v>Oat cookies (6 pcs)</v>
      </c>
      <c r="F135" s="22" t="str">
        <f aca="false">IF($B135="","",IFERROR(INDEX(Products!$C$2:$C$201,MATCH($B135,Products!$A$2:$A$201,0)),""))</f>
        <v>Snacks</v>
      </c>
      <c r="G135" s="17" t="n">
        <f aca="false">IF($B135="","",IFERROR(INDEX(Products!$D$2:$D$201,MATCH($B135,Products!$A$2:$A$201,0)),0))</f>
        <v>3.8</v>
      </c>
      <c r="H135" s="17" t="n">
        <f aca="false">IF($B135="","",C135*G135*(1-D135))</f>
        <v>7.22</v>
      </c>
      <c r="I135" s="17" t="n">
        <f aca="false">IF($B135="","",C135*IFERROR(INDEX(Products!$E$2:$E$201,MATCH($B135,Products!$A$2:$A$201,0)),0))</f>
        <v>2.8</v>
      </c>
      <c r="J135" s="17" t="n">
        <f aca="false">IF($B135="","",H135-I135)</f>
        <v>4.42</v>
      </c>
      <c r="K135" s="16" t="n">
        <f aca="false">IF($A135="","",DATE(YEAR($A135),MONTH($A135),1))</f>
        <v>46266</v>
      </c>
    </row>
    <row r="136" customFormat="false" ht="15" hidden="false" customHeight="false" outlineLevel="0" collapsed="false">
      <c r="A136" s="25" t="n">
        <v>46274</v>
      </c>
      <c r="B136" s="19" t="s">
        <v>54</v>
      </c>
      <c r="C136" s="19" t="n">
        <v>2</v>
      </c>
      <c r="D136" s="26" t="n">
        <v>0</v>
      </c>
      <c r="E136" s="27" t="str">
        <f aca="false">IF($B136="","",IFERROR(INDEX(Products!$B$2:$B$201,MATCH($B136,Products!$A$2:$A$201,0)),"Unknown code"))</f>
        <v>Paper filters (100 pcs)</v>
      </c>
      <c r="F136" s="22" t="str">
        <f aca="false">IF($B136="","",IFERROR(INDEX(Products!$C$2:$C$201,MATCH($B136,Products!$A$2:$A$201,0)),""))</f>
        <v>Accessories</v>
      </c>
      <c r="G136" s="17" t="n">
        <f aca="false">IF($B136="","",IFERROR(INDEX(Products!$D$2:$D$201,MATCH($B136,Products!$A$2:$A$201,0)),0))</f>
        <v>4.5</v>
      </c>
      <c r="H136" s="17" t="n">
        <f aca="false">IF($B136="","",C136*G136*(1-D136))</f>
        <v>9</v>
      </c>
      <c r="I136" s="17" t="n">
        <f aca="false">IF($B136="","",C136*IFERROR(INDEX(Products!$E$2:$E$201,MATCH($B136,Products!$A$2:$A$201,0)),0))</f>
        <v>3.4</v>
      </c>
      <c r="J136" s="17" t="n">
        <f aca="false">IF($B136="","",H136-I136)</f>
        <v>5.6</v>
      </c>
      <c r="K136" s="16" t="n">
        <f aca="false">IF($A136="","",DATE(YEAR($A136),MONTH($A136),1))</f>
        <v>46266</v>
      </c>
    </row>
    <row r="137" customFormat="false" ht="15" hidden="false" customHeight="false" outlineLevel="0" collapsed="false">
      <c r="A137" s="25" t="n">
        <v>46274</v>
      </c>
      <c r="B137" s="19" t="s">
        <v>58</v>
      </c>
      <c r="C137" s="19" t="n">
        <v>1</v>
      </c>
      <c r="D137" s="26" t="n">
        <v>0</v>
      </c>
      <c r="E137" s="27" t="str">
        <f aca="false">IF($B137="","",IFERROR(INDEX(Products!$B$2:$B$201,MATCH($B137,Products!$A$2:$A$201,0)),"Unknown code"))</f>
        <v>Oat cookies (6 pcs)</v>
      </c>
      <c r="F137" s="22" t="str">
        <f aca="false">IF($B137="","",IFERROR(INDEX(Products!$C$2:$C$201,MATCH($B137,Products!$A$2:$A$201,0)),""))</f>
        <v>Snacks</v>
      </c>
      <c r="G137" s="17" t="n">
        <f aca="false">IF($B137="","",IFERROR(INDEX(Products!$D$2:$D$201,MATCH($B137,Products!$A$2:$A$201,0)),0))</f>
        <v>3.8</v>
      </c>
      <c r="H137" s="17" t="n">
        <f aca="false">IF($B137="","",C137*G137*(1-D137))</f>
        <v>3.8</v>
      </c>
      <c r="I137" s="17" t="n">
        <f aca="false">IF($B137="","",C137*IFERROR(INDEX(Products!$E$2:$E$201,MATCH($B137,Products!$A$2:$A$201,0)),0))</f>
        <v>1.4</v>
      </c>
      <c r="J137" s="17" t="n">
        <f aca="false">IF($B137="","",H137-I137)</f>
        <v>2.4</v>
      </c>
      <c r="K137" s="16" t="n">
        <f aca="false">IF($A137="","",DATE(YEAR($A137),MONTH($A137),1))</f>
        <v>46266</v>
      </c>
    </row>
    <row r="138" customFormat="false" ht="15" hidden="false" customHeight="false" outlineLevel="0" collapsed="false">
      <c r="A138" s="25" t="n">
        <v>46276</v>
      </c>
      <c r="B138" s="19" t="s">
        <v>58</v>
      </c>
      <c r="C138" s="19" t="n">
        <v>1</v>
      </c>
      <c r="D138" s="26" t="n">
        <v>0.1</v>
      </c>
      <c r="E138" s="27" t="str">
        <f aca="false">IF($B138="","",IFERROR(INDEX(Products!$B$2:$B$201,MATCH($B138,Products!$A$2:$A$201,0)),"Unknown code"))</f>
        <v>Oat cookies (6 pcs)</v>
      </c>
      <c r="F138" s="22" t="str">
        <f aca="false">IF($B138="","",IFERROR(INDEX(Products!$C$2:$C$201,MATCH($B138,Products!$A$2:$A$201,0)),""))</f>
        <v>Snacks</v>
      </c>
      <c r="G138" s="17" t="n">
        <f aca="false">IF($B138="","",IFERROR(INDEX(Products!$D$2:$D$201,MATCH($B138,Products!$A$2:$A$201,0)),0))</f>
        <v>3.8</v>
      </c>
      <c r="H138" s="17" t="n">
        <f aca="false">IF($B138="","",C138*G138*(1-D138))</f>
        <v>3.42</v>
      </c>
      <c r="I138" s="17" t="n">
        <f aca="false">IF($B138="","",C138*IFERROR(INDEX(Products!$E$2:$E$201,MATCH($B138,Products!$A$2:$A$201,0)),0))</f>
        <v>1.4</v>
      </c>
      <c r="J138" s="17" t="n">
        <f aca="false">IF($B138="","",H138-I138)</f>
        <v>2.02</v>
      </c>
      <c r="K138" s="16" t="n">
        <f aca="false">IF($A138="","",DATE(YEAR($A138),MONTH($A138),1))</f>
        <v>46266</v>
      </c>
    </row>
    <row r="139" customFormat="false" ht="15" hidden="false" customHeight="false" outlineLevel="0" collapsed="false">
      <c r="A139" s="25" t="n">
        <v>46276</v>
      </c>
      <c r="B139" s="19" t="s">
        <v>54</v>
      </c>
      <c r="C139" s="19" t="n">
        <v>2</v>
      </c>
      <c r="D139" s="26" t="n">
        <v>0.05</v>
      </c>
      <c r="E139" s="27" t="str">
        <f aca="false">IF($B139="","",IFERROR(INDEX(Products!$B$2:$B$201,MATCH($B139,Products!$A$2:$A$201,0)),"Unknown code"))</f>
        <v>Paper filters (100 pcs)</v>
      </c>
      <c r="F139" s="22" t="str">
        <f aca="false">IF($B139="","",IFERROR(INDEX(Products!$C$2:$C$201,MATCH($B139,Products!$A$2:$A$201,0)),""))</f>
        <v>Accessories</v>
      </c>
      <c r="G139" s="17" t="n">
        <f aca="false">IF($B139="","",IFERROR(INDEX(Products!$D$2:$D$201,MATCH($B139,Products!$A$2:$A$201,0)),0))</f>
        <v>4.5</v>
      </c>
      <c r="H139" s="17" t="n">
        <f aca="false">IF($B139="","",C139*G139*(1-D139))</f>
        <v>8.55</v>
      </c>
      <c r="I139" s="17" t="n">
        <f aca="false">IF($B139="","",C139*IFERROR(INDEX(Products!$E$2:$E$201,MATCH($B139,Products!$A$2:$A$201,0)),0))</f>
        <v>3.4</v>
      </c>
      <c r="J139" s="17" t="n">
        <f aca="false">IF($B139="","",H139-I139)</f>
        <v>5.15</v>
      </c>
      <c r="K139" s="16" t="n">
        <f aca="false">IF($A139="","",DATE(YEAR($A139),MONTH($A139),1))</f>
        <v>46266</v>
      </c>
    </row>
    <row r="140" customFormat="false" ht="15" hidden="false" customHeight="false" outlineLevel="0" collapsed="false">
      <c r="A140" s="25" t="n">
        <v>46278</v>
      </c>
      <c r="B140" s="19" t="s">
        <v>62</v>
      </c>
      <c r="C140" s="19" t="n">
        <v>2</v>
      </c>
      <c r="D140" s="26" t="n">
        <v>0</v>
      </c>
      <c r="E140" s="27" t="str">
        <f aca="false">IF($B140="","",IFERROR(INDEX(Products!$B$2:$B$201,MATCH($B140,Products!$A$2:$A$201,0)),"Unknown code"))</f>
        <v>Granola 300 g</v>
      </c>
      <c r="F140" s="22" t="str">
        <f aca="false">IF($B140="","",IFERROR(INDEX(Products!$C$2:$C$201,MATCH($B140,Products!$A$2:$A$201,0)),""))</f>
        <v>Snacks</v>
      </c>
      <c r="G140" s="17" t="n">
        <f aca="false">IF($B140="","",IFERROR(INDEX(Products!$D$2:$D$201,MATCH($B140,Products!$A$2:$A$201,0)),0))</f>
        <v>7</v>
      </c>
      <c r="H140" s="17" t="n">
        <f aca="false">IF($B140="","",C140*G140*(1-D140))</f>
        <v>14</v>
      </c>
      <c r="I140" s="17" t="n">
        <f aca="false">IF($B140="","",C140*IFERROR(INDEX(Products!$E$2:$E$201,MATCH($B140,Products!$A$2:$A$201,0)),0))</f>
        <v>5.8</v>
      </c>
      <c r="J140" s="17" t="n">
        <f aca="false">IF($B140="","",H140-I140)</f>
        <v>8.2</v>
      </c>
      <c r="K140" s="16" t="n">
        <f aca="false">IF($A140="","",DATE(YEAR($A140),MONTH($A140),1))</f>
        <v>46266</v>
      </c>
    </row>
    <row r="141" customFormat="false" ht="15" hidden="false" customHeight="false" outlineLevel="0" collapsed="false">
      <c r="A141" s="25" t="n">
        <v>46278</v>
      </c>
      <c r="B141" s="19" t="s">
        <v>44</v>
      </c>
      <c r="C141" s="19" t="n">
        <v>2</v>
      </c>
      <c r="D141" s="26" t="n">
        <v>0</v>
      </c>
      <c r="E141" s="27" t="str">
        <f aca="false">IF($B141="","",IFERROR(INDEX(Products!$B$2:$B$201,MATCH($B141,Products!$A$2:$A$201,0)),"Unknown code"))</f>
        <v>Specialty coffee 250 g</v>
      </c>
      <c r="F141" s="22" t="str">
        <f aca="false">IF($B141="","",IFERROR(INDEX(Products!$C$2:$C$201,MATCH($B141,Products!$A$2:$A$201,0)),""))</f>
        <v>Coffee</v>
      </c>
      <c r="G141" s="17" t="n">
        <f aca="false">IF($B141="","",IFERROR(INDEX(Products!$D$2:$D$201,MATCH($B141,Products!$A$2:$A$201,0)),0))</f>
        <v>14</v>
      </c>
      <c r="H141" s="17" t="n">
        <f aca="false">IF($B141="","",C141*G141*(1-D141))</f>
        <v>28</v>
      </c>
      <c r="I141" s="17" t="n">
        <f aca="false">IF($B141="","",C141*IFERROR(INDEX(Products!$E$2:$E$201,MATCH($B141,Products!$A$2:$A$201,0)),0))</f>
        <v>13.8</v>
      </c>
      <c r="J141" s="17" t="n">
        <f aca="false">IF($B141="","",H141-I141)</f>
        <v>14.2</v>
      </c>
      <c r="K141" s="16" t="n">
        <f aca="false">IF($A141="","",DATE(YEAR($A141),MONTH($A141),1))</f>
        <v>46266</v>
      </c>
    </row>
    <row r="142" customFormat="false" ht="15" hidden="false" customHeight="false" outlineLevel="0" collapsed="false">
      <c r="A142" s="25" t="n">
        <v>46280</v>
      </c>
      <c r="B142" s="19" t="s">
        <v>42</v>
      </c>
      <c r="C142" s="19" t="n">
        <v>3</v>
      </c>
      <c r="D142" s="26" t="n">
        <v>0</v>
      </c>
      <c r="E142" s="27" t="str">
        <f aca="false">IF($B142="","",IFERROR(INDEX(Products!$B$2:$B$201,MATCH($B142,Products!$A$2:$A$201,0)),"Unknown code"))</f>
        <v>Ground coffee 500 g</v>
      </c>
      <c r="F142" s="22" t="str">
        <f aca="false">IF($B142="","",IFERROR(INDEX(Products!$C$2:$C$201,MATCH($B142,Products!$A$2:$A$201,0)),""))</f>
        <v>Coffee</v>
      </c>
      <c r="G142" s="17" t="n">
        <f aca="false">IF($B142="","",IFERROR(INDEX(Products!$D$2:$D$201,MATCH($B142,Products!$A$2:$A$201,0)),0))</f>
        <v>16</v>
      </c>
      <c r="H142" s="17" t="n">
        <f aca="false">IF($B142="","",C142*G142*(1-D142))</f>
        <v>48</v>
      </c>
      <c r="I142" s="17" t="n">
        <f aca="false">IF($B142="","",C142*IFERROR(INDEX(Products!$E$2:$E$201,MATCH($B142,Products!$A$2:$A$201,0)),0))</f>
        <v>23.4</v>
      </c>
      <c r="J142" s="17" t="n">
        <f aca="false">IF($B142="","",H142-I142)</f>
        <v>24.6</v>
      </c>
      <c r="K142" s="16" t="n">
        <f aca="false">IF($A142="","",DATE(YEAR($A142),MONTH($A142),1))</f>
        <v>46266</v>
      </c>
    </row>
    <row r="143" customFormat="false" ht="15" hidden="false" customHeight="false" outlineLevel="0" collapsed="false">
      <c r="A143" s="25" t="n">
        <v>46284</v>
      </c>
      <c r="B143" s="19" t="s">
        <v>42</v>
      </c>
      <c r="C143" s="19" t="n">
        <v>2</v>
      </c>
      <c r="D143" s="26" t="n">
        <v>0</v>
      </c>
      <c r="E143" s="27" t="str">
        <f aca="false">IF($B143="","",IFERROR(INDEX(Products!$B$2:$B$201,MATCH($B143,Products!$A$2:$A$201,0)),"Unknown code"))</f>
        <v>Ground coffee 500 g</v>
      </c>
      <c r="F143" s="22" t="str">
        <f aca="false">IF($B143="","",IFERROR(INDEX(Products!$C$2:$C$201,MATCH($B143,Products!$A$2:$A$201,0)),""))</f>
        <v>Coffee</v>
      </c>
      <c r="G143" s="17" t="n">
        <f aca="false">IF($B143="","",IFERROR(INDEX(Products!$D$2:$D$201,MATCH($B143,Products!$A$2:$A$201,0)),0))</f>
        <v>16</v>
      </c>
      <c r="H143" s="17" t="n">
        <f aca="false">IF($B143="","",C143*G143*(1-D143))</f>
        <v>32</v>
      </c>
      <c r="I143" s="17" t="n">
        <f aca="false">IF($B143="","",C143*IFERROR(INDEX(Products!$E$2:$E$201,MATCH($B143,Products!$A$2:$A$201,0)),0))</f>
        <v>15.6</v>
      </c>
      <c r="J143" s="17" t="n">
        <f aca="false">IF($B143="","",H143-I143)</f>
        <v>16.4</v>
      </c>
      <c r="K143" s="16" t="n">
        <f aca="false">IF($A143="","",DATE(YEAR($A143),MONTH($A143),1))</f>
        <v>46266</v>
      </c>
    </row>
    <row r="144" customFormat="false" ht="15" hidden="false" customHeight="false" outlineLevel="0" collapsed="false">
      <c r="A144" s="25" t="n">
        <v>46288</v>
      </c>
      <c r="B144" s="19" t="s">
        <v>42</v>
      </c>
      <c r="C144" s="19" t="n">
        <v>1</v>
      </c>
      <c r="D144" s="26" t="n">
        <v>0</v>
      </c>
      <c r="E144" s="27" t="str">
        <f aca="false">IF($B144="","",IFERROR(INDEX(Products!$B$2:$B$201,MATCH($B144,Products!$A$2:$A$201,0)),"Unknown code"))</f>
        <v>Ground coffee 500 g</v>
      </c>
      <c r="F144" s="22" t="str">
        <f aca="false">IF($B144="","",IFERROR(INDEX(Products!$C$2:$C$201,MATCH($B144,Products!$A$2:$A$201,0)),""))</f>
        <v>Coffee</v>
      </c>
      <c r="G144" s="17" t="n">
        <f aca="false">IF($B144="","",IFERROR(INDEX(Products!$D$2:$D$201,MATCH($B144,Products!$A$2:$A$201,0)),0))</f>
        <v>16</v>
      </c>
      <c r="H144" s="17" t="n">
        <f aca="false">IF($B144="","",C144*G144*(1-D144))</f>
        <v>16</v>
      </c>
      <c r="I144" s="17" t="n">
        <f aca="false">IF($B144="","",C144*IFERROR(INDEX(Products!$E$2:$E$201,MATCH($B144,Products!$A$2:$A$201,0)),0))</f>
        <v>7.8</v>
      </c>
      <c r="J144" s="17" t="n">
        <f aca="false">IF($B144="","",H144-I144)</f>
        <v>8.2</v>
      </c>
      <c r="K144" s="16" t="n">
        <f aca="false">IF($A144="","",DATE(YEAR($A144),MONTH($A144),1))</f>
        <v>46266</v>
      </c>
    </row>
    <row r="145" customFormat="false" ht="15" hidden="false" customHeight="false" outlineLevel="0" collapsed="false">
      <c r="A145" s="25" t="n">
        <v>46289</v>
      </c>
      <c r="B145" s="19" t="s">
        <v>44</v>
      </c>
      <c r="C145" s="19" t="n">
        <v>1</v>
      </c>
      <c r="D145" s="26" t="n">
        <v>0.05</v>
      </c>
      <c r="E145" s="27" t="str">
        <f aca="false">IF($B145="","",IFERROR(INDEX(Products!$B$2:$B$201,MATCH($B145,Products!$A$2:$A$201,0)),"Unknown code"))</f>
        <v>Specialty coffee 250 g</v>
      </c>
      <c r="F145" s="22" t="str">
        <f aca="false">IF($B145="","",IFERROR(INDEX(Products!$C$2:$C$201,MATCH($B145,Products!$A$2:$A$201,0)),""))</f>
        <v>Coffee</v>
      </c>
      <c r="G145" s="17" t="n">
        <f aca="false">IF($B145="","",IFERROR(INDEX(Products!$D$2:$D$201,MATCH($B145,Products!$A$2:$A$201,0)),0))</f>
        <v>14</v>
      </c>
      <c r="H145" s="17" t="n">
        <f aca="false">IF($B145="","",C145*G145*(1-D145))</f>
        <v>13.3</v>
      </c>
      <c r="I145" s="17" t="n">
        <f aca="false">IF($B145="","",C145*IFERROR(INDEX(Products!$E$2:$E$201,MATCH($B145,Products!$A$2:$A$201,0)),0))</f>
        <v>6.9</v>
      </c>
      <c r="J145" s="17" t="n">
        <f aca="false">IF($B145="","",H145-I145)</f>
        <v>6.4</v>
      </c>
      <c r="K145" s="16" t="n">
        <f aca="false">IF($A145="","",DATE(YEAR($A145),MONTH($A145),1))</f>
        <v>46266</v>
      </c>
    </row>
    <row r="146" customFormat="false" ht="15" hidden="false" customHeight="false" outlineLevel="0" collapsed="false">
      <c r="A146" s="25" t="n">
        <v>46291</v>
      </c>
      <c r="B146" s="19" t="s">
        <v>54</v>
      </c>
      <c r="C146" s="19" t="n">
        <v>2</v>
      </c>
      <c r="D146" s="26" t="n">
        <v>0</v>
      </c>
      <c r="E146" s="27" t="str">
        <f aca="false">IF($B146="","",IFERROR(INDEX(Products!$B$2:$B$201,MATCH($B146,Products!$A$2:$A$201,0)),"Unknown code"))</f>
        <v>Paper filters (100 pcs)</v>
      </c>
      <c r="F146" s="22" t="str">
        <f aca="false">IF($B146="","",IFERROR(INDEX(Products!$C$2:$C$201,MATCH($B146,Products!$A$2:$A$201,0)),""))</f>
        <v>Accessories</v>
      </c>
      <c r="G146" s="17" t="n">
        <f aca="false">IF($B146="","",IFERROR(INDEX(Products!$D$2:$D$201,MATCH($B146,Products!$A$2:$A$201,0)),0))</f>
        <v>4.5</v>
      </c>
      <c r="H146" s="17" t="n">
        <f aca="false">IF($B146="","",C146*G146*(1-D146))</f>
        <v>9</v>
      </c>
      <c r="I146" s="17" t="n">
        <f aca="false">IF($B146="","",C146*IFERROR(INDEX(Products!$E$2:$E$201,MATCH($B146,Products!$A$2:$A$201,0)),0))</f>
        <v>3.4</v>
      </c>
      <c r="J146" s="17" t="n">
        <f aca="false">IF($B146="","",H146-I146)</f>
        <v>5.6</v>
      </c>
      <c r="K146" s="16" t="n">
        <f aca="false">IF($A146="","",DATE(YEAR($A146),MONTH($A146),1))</f>
        <v>46266</v>
      </c>
    </row>
    <row r="147" customFormat="false" ht="15" hidden="false" customHeight="false" outlineLevel="0" collapsed="false">
      <c r="A147" s="25" t="n">
        <v>46292</v>
      </c>
      <c r="B147" s="19" t="s">
        <v>48</v>
      </c>
      <c r="C147" s="19" t="n">
        <v>2</v>
      </c>
      <c r="D147" s="26" t="n">
        <v>0</v>
      </c>
      <c r="E147" s="27" t="str">
        <f aca="false">IF($B147="","",IFERROR(INDEX(Products!$B$2:$B$201,MATCH($B147,Products!$A$2:$A$201,0)),"Unknown code"))</f>
        <v>Chai tea 50 g</v>
      </c>
      <c r="F147" s="22" t="str">
        <f aca="false">IF($B147="","",IFERROR(INDEX(Products!$C$2:$C$201,MATCH($B147,Products!$A$2:$A$201,0)),""))</f>
        <v>Tea</v>
      </c>
      <c r="G147" s="17" t="n">
        <f aca="false">IF($B147="","",IFERROR(INDEX(Products!$D$2:$D$201,MATCH($B147,Products!$A$2:$A$201,0)),0))</f>
        <v>6.5</v>
      </c>
      <c r="H147" s="17" t="n">
        <f aca="false">IF($B147="","",C147*G147*(1-D147))</f>
        <v>13</v>
      </c>
      <c r="I147" s="17" t="n">
        <f aca="false">IF($B147="","",C147*IFERROR(INDEX(Products!$E$2:$E$201,MATCH($B147,Products!$A$2:$A$201,0)),0))</f>
        <v>5.2</v>
      </c>
      <c r="J147" s="17" t="n">
        <f aca="false">IF($B147="","",H147-I147)</f>
        <v>7.8</v>
      </c>
      <c r="K147" s="16" t="n">
        <f aca="false">IF($A147="","",DATE(YEAR($A147),MONTH($A147),1))</f>
        <v>46266</v>
      </c>
    </row>
    <row r="148" customFormat="false" ht="15" hidden="false" customHeight="false" outlineLevel="0" collapsed="false">
      <c r="A148" s="25"/>
      <c r="B148" s="19"/>
      <c r="C148" s="19"/>
      <c r="D148" s="26"/>
      <c r="E148" s="27" t="str">
        <f aca="false">IF($B148="","",IFERROR(INDEX(Products!$B$2:$B$201,MATCH($B148,Products!$A$2:$A$201,0)),"Unknown code"))</f>
        <v/>
      </c>
      <c r="F148" s="22" t="str">
        <f aca="false">IF($B148="","",IFERROR(INDEX(Products!$C$2:$C$201,MATCH($B148,Products!$A$2:$A$201,0)),""))</f>
        <v/>
      </c>
      <c r="G148" s="17" t="str">
        <f aca="false">IF($B148="","",IFERROR(INDEX(Products!$D$2:$D$201,MATCH($B148,Products!$A$2:$A$201,0)),0))</f>
        <v/>
      </c>
      <c r="H148" s="17" t="str">
        <f aca="false">IF($B148="","",C148*G148*(1-D148))</f>
        <v/>
      </c>
      <c r="I148" s="17" t="str">
        <f aca="false">IF($B148="","",C148*IFERROR(INDEX(Products!$E$2:$E$201,MATCH($B148,Products!$A$2:$A$201,0)),0))</f>
        <v/>
      </c>
      <c r="J148" s="17" t="str">
        <f aca="false">IF($B148="","",H148-I148)</f>
        <v/>
      </c>
      <c r="K148" s="16" t="str">
        <f aca="false">IF($A148="","",DATE(YEAR($A148),MONTH($A148),1))</f>
        <v/>
      </c>
    </row>
    <row r="149" customFormat="false" ht="15" hidden="false" customHeight="false" outlineLevel="0" collapsed="false">
      <c r="A149" s="25"/>
      <c r="B149" s="19"/>
      <c r="C149" s="19"/>
      <c r="D149" s="26"/>
      <c r="E149" s="27" t="str">
        <f aca="false">IF($B149="","",IFERROR(INDEX(Products!$B$2:$B$201,MATCH($B149,Products!$A$2:$A$201,0)),"Unknown code"))</f>
        <v/>
      </c>
      <c r="F149" s="22" t="str">
        <f aca="false">IF($B149="","",IFERROR(INDEX(Products!$C$2:$C$201,MATCH($B149,Products!$A$2:$A$201,0)),""))</f>
        <v/>
      </c>
      <c r="G149" s="17" t="str">
        <f aca="false">IF($B149="","",IFERROR(INDEX(Products!$D$2:$D$201,MATCH($B149,Products!$A$2:$A$201,0)),0))</f>
        <v/>
      </c>
      <c r="H149" s="17" t="str">
        <f aca="false">IF($B149="","",C149*G149*(1-D149))</f>
        <v/>
      </c>
      <c r="I149" s="17" t="str">
        <f aca="false">IF($B149="","",C149*IFERROR(INDEX(Products!$E$2:$E$201,MATCH($B149,Products!$A$2:$A$201,0)),0))</f>
        <v/>
      </c>
      <c r="J149" s="17" t="str">
        <f aca="false">IF($B149="","",H149-I149)</f>
        <v/>
      </c>
      <c r="K149" s="16" t="str">
        <f aca="false">IF($A149="","",DATE(YEAR($A149),MONTH($A149),1))</f>
        <v/>
      </c>
    </row>
    <row r="150" customFormat="false" ht="15" hidden="false" customHeight="false" outlineLevel="0" collapsed="false">
      <c r="A150" s="25"/>
      <c r="B150" s="19"/>
      <c r="C150" s="19"/>
      <c r="D150" s="26"/>
      <c r="E150" s="27" t="str">
        <f aca="false">IF($B150="","",IFERROR(INDEX(Products!$B$2:$B$201,MATCH($B150,Products!$A$2:$A$201,0)),"Unknown code"))</f>
        <v/>
      </c>
      <c r="F150" s="22" t="str">
        <f aca="false">IF($B150="","",IFERROR(INDEX(Products!$C$2:$C$201,MATCH($B150,Products!$A$2:$A$201,0)),""))</f>
        <v/>
      </c>
      <c r="G150" s="17" t="str">
        <f aca="false">IF($B150="","",IFERROR(INDEX(Products!$D$2:$D$201,MATCH($B150,Products!$A$2:$A$201,0)),0))</f>
        <v/>
      </c>
      <c r="H150" s="17" t="str">
        <f aca="false">IF($B150="","",C150*G150*(1-D150))</f>
        <v/>
      </c>
      <c r="I150" s="17" t="str">
        <f aca="false">IF($B150="","",C150*IFERROR(INDEX(Products!$E$2:$E$201,MATCH($B150,Products!$A$2:$A$201,0)),0))</f>
        <v/>
      </c>
      <c r="J150" s="17" t="str">
        <f aca="false">IF($B150="","",H150-I150)</f>
        <v/>
      </c>
      <c r="K150" s="16" t="str">
        <f aca="false">IF($A150="","",DATE(YEAR($A150),MONTH($A150),1))</f>
        <v/>
      </c>
    </row>
    <row r="151" customFormat="false" ht="15" hidden="false" customHeight="false" outlineLevel="0" collapsed="false">
      <c r="A151" s="25"/>
      <c r="B151" s="19"/>
      <c r="C151" s="19"/>
      <c r="D151" s="26"/>
      <c r="E151" s="27" t="str">
        <f aca="false">IF($B151="","",IFERROR(INDEX(Products!$B$2:$B$201,MATCH($B151,Products!$A$2:$A$201,0)),"Unknown code"))</f>
        <v/>
      </c>
      <c r="F151" s="22" t="str">
        <f aca="false">IF($B151="","",IFERROR(INDEX(Products!$C$2:$C$201,MATCH($B151,Products!$A$2:$A$201,0)),""))</f>
        <v/>
      </c>
      <c r="G151" s="17" t="str">
        <f aca="false">IF($B151="","",IFERROR(INDEX(Products!$D$2:$D$201,MATCH($B151,Products!$A$2:$A$201,0)),0))</f>
        <v/>
      </c>
      <c r="H151" s="17" t="str">
        <f aca="false">IF($B151="","",C151*G151*(1-D151))</f>
        <v/>
      </c>
      <c r="I151" s="17" t="str">
        <f aca="false">IF($B151="","",C151*IFERROR(INDEX(Products!$E$2:$E$201,MATCH($B151,Products!$A$2:$A$201,0)),0))</f>
        <v/>
      </c>
      <c r="J151" s="17" t="str">
        <f aca="false">IF($B151="","",H151-I151)</f>
        <v/>
      </c>
      <c r="K151" s="16" t="str">
        <f aca="false">IF($A151="","",DATE(YEAR($A151),MONTH($A151),1))</f>
        <v/>
      </c>
    </row>
    <row r="152" customFormat="false" ht="15" hidden="false" customHeight="false" outlineLevel="0" collapsed="false">
      <c r="A152" s="25"/>
      <c r="B152" s="19"/>
      <c r="C152" s="19"/>
      <c r="D152" s="26"/>
      <c r="E152" s="27" t="str">
        <f aca="false">IF($B152="","",IFERROR(INDEX(Products!$B$2:$B$201,MATCH($B152,Products!$A$2:$A$201,0)),"Unknown code"))</f>
        <v/>
      </c>
      <c r="F152" s="22" t="str">
        <f aca="false">IF($B152="","",IFERROR(INDEX(Products!$C$2:$C$201,MATCH($B152,Products!$A$2:$A$201,0)),""))</f>
        <v/>
      </c>
      <c r="G152" s="17" t="str">
        <f aca="false">IF($B152="","",IFERROR(INDEX(Products!$D$2:$D$201,MATCH($B152,Products!$A$2:$A$201,0)),0))</f>
        <v/>
      </c>
      <c r="H152" s="17" t="str">
        <f aca="false">IF($B152="","",C152*G152*(1-D152))</f>
        <v/>
      </c>
      <c r="I152" s="17" t="str">
        <f aca="false">IF($B152="","",C152*IFERROR(INDEX(Products!$E$2:$E$201,MATCH($B152,Products!$A$2:$A$201,0)),0))</f>
        <v/>
      </c>
      <c r="J152" s="17" t="str">
        <f aca="false">IF($B152="","",H152-I152)</f>
        <v/>
      </c>
      <c r="K152" s="16" t="str">
        <f aca="false">IF($A152="","",DATE(YEAR($A152),MONTH($A152),1))</f>
        <v/>
      </c>
    </row>
    <row r="153" customFormat="false" ht="15" hidden="false" customHeight="false" outlineLevel="0" collapsed="false">
      <c r="A153" s="25"/>
      <c r="B153" s="19"/>
      <c r="C153" s="19"/>
      <c r="D153" s="26"/>
      <c r="E153" s="27" t="str">
        <f aca="false">IF($B153="","",IFERROR(INDEX(Products!$B$2:$B$201,MATCH($B153,Products!$A$2:$A$201,0)),"Unknown code"))</f>
        <v/>
      </c>
      <c r="F153" s="22" t="str">
        <f aca="false">IF($B153="","",IFERROR(INDEX(Products!$C$2:$C$201,MATCH($B153,Products!$A$2:$A$201,0)),""))</f>
        <v/>
      </c>
      <c r="G153" s="17" t="str">
        <f aca="false">IF($B153="","",IFERROR(INDEX(Products!$D$2:$D$201,MATCH($B153,Products!$A$2:$A$201,0)),0))</f>
        <v/>
      </c>
      <c r="H153" s="17" t="str">
        <f aca="false">IF($B153="","",C153*G153*(1-D153))</f>
        <v/>
      </c>
      <c r="I153" s="17" t="str">
        <f aca="false">IF($B153="","",C153*IFERROR(INDEX(Products!$E$2:$E$201,MATCH($B153,Products!$A$2:$A$201,0)),0))</f>
        <v/>
      </c>
      <c r="J153" s="17" t="str">
        <f aca="false">IF($B153="","",H153-I153)</f>
        <v/>
      </c>
      <c r="K153" s="16" t="str">
        <f aca="false">IF($A153="","",DATE(YEAR($A153),MONTH($A153),1))</f>
        <v/>
      </c>
    </row>
    <row r="154" customFormat="false" ht="15" hidden="false" customHeight="false" outlineLevel="0" collapsed="false">
      <c r="A154" s="25"/>
      <c r="B154" s="19"/>
      <c r="C154" s="19"/>
      <c r="D154" s="26"/>
      <c r="E154" s="27" t="str">
        <f aca="false">IF($B154="","",IFERROR(INDEX(Products!$B$2:$B$201,MATCH($B154,Products!$A$2:$A$201,0)),"Unknown code"))</f>
        <v/>
      </c>
      <c r="F154" s="22" t="str">
        <f aca="false">IF($B154="","",IFERROR(INDEX(Products!$C$2:$C$201,MATCH($B154,Products!$A$2:$A$201,0)),""))</f>
        <v/>
      </c>
      <c r="G154" s="17" t="str">
        <f aca="false">IF($B154="","",IFERROR(INDEX(Products!$D$2:$D$201,MATCH($B154,Products!$A$2:$A$201,0)),0))</f>
        <v/>
      </c>
      <c r="H154" s="17" t="str">
        <f aca="false">IF($B154="","",C154*G154*(1-D154))</f>
        <v/>
      </c>
      <c r="I154" s="17" t="str">
        <f aca="false">IF($B154="","",C154*IFERROR(INDEX(Products!$E$2:$E$201,MATCH($B154,Products!$A$2:$A$201,0)),0))</f>
        <v/>
      </c>
      <c r="J154" s="17" t="str">
        <f aca="false">IF($B154="","",H154-I154)</f>
        <v/>
      </c>
      <c r="K154" s="16" t="str">
        <f aca="false">IF($A154="","",DATE(YEAR($A154),MONTH($A154),1))</f>
        <v/>
      </c>
    </row>
    <row r="155" customFormat="false" ht="15" hidden="false" customHeight="false" outlineLevel="0" collapsed="false">
      <c r="A155" s="25"/>
      <c r="B155" s="19"/>
      <c r="C155" s="19"/>
      <c r="D155" s="26"/>
      <c r="E155" s="27" t="str">
        <f aca="false">IF($B155="","",IFERROR(INDEX(Products!$B$2:$B$201,MATCH($B155,Products!$A$2:$A$201,0)),"Unknown code"))</f>
        <v/>
      </c>
      <c r="F155" s="22" t="str">
        <f aca="false">IF($B155="","",IFERROR(INDEX(Products!$C$2:$C$201,MATCH($B155,Products!$A$2:$A$201,0)),""))</f>
        <v/>
      </c>
      <c r="G155" s="17" t="str">
        <f aca="false">IF($B155="","",IFERROR(INDEX(Products!$D$2:$D$201,MATCH($B155,Products!$A$2:$A$201,0)),0))</f>
        <v/>
      </c>
      <c r="H155" s="17" t="str">
        <f aca="false">IF($B155="","",C155*G155*(1-D155))</f>
        <v/>
      </c>
      <c r="I155" s="17" t="str">
        <f aca="false">IF($B155="","",C155*IFERROR(INDEX(Products!$E$2:$E$201,MATCH($B155,Products!$A$2:$A$201,0)),0))</f>
        <v/>
      </c>
      <c r="J155" s="17" t="str">
        <f aca="false">IF($B155="","",H155-I155)</f>
        <v/>
      </c>
      <c r="K155" s="16" t="str">
        <f aca="false">IF($A155="","",DATE(YEAR($A155),MONTH($A155),1))</f>
        <v/>
      </c>
    </row>
    <row r="156" customFormat="false" ht="15" hidden="false" customHeight="false" outlineLevel="0" collapsed="false">
      <c r="A156" s="25"/>
      <c r="B156" s="19"/>
      <c r="C156" s="19"/>
      <c r="D156" s="26"/>
      <c r="E156" s="27" t="str">
        <f aca="false">IF($B156="","",IFERROR(INDEX(Products!$B$2:$B$201,MATCH($B156,Products!$A$2:$A$201,0)),"Unknown code"))</f>
        <v/>
      </c>
      <c r="F156" s="22" t="str">
        <f aca="false">IF($B156="","",IFERROR(INDEX(Products!$C$2:$C$201,MATCH($B156,Products!$A$2:$A$201,0)),""))</f>
        <v/>
      </c>
      <c r="G156" s="17" t="str">
        <f aca="false">IF($B156="","",IFERROR(INDEX(Products!$D$2:$D$201,MATCH($B156,Products!$A$2:$A$201,0)),0))</f>
        <v/>
      </c>
      <c r="H156" s="17" t="str">
        <f aca="false">IF($B156="","",C156*G156*(1-D156))</f>
        <v/>
      </c>
      <c r="I156" s="17" t="str">
        <f aca="false">IF($B156="","",C156*IFERROR(INDEX(Products!$E$2:$E$201,MATCH($B156,Products!$A$2:$A$201,0)),0))</f>
        <v/>
      </c>
      <c r="J156" s="17" t="str">
        <f aca="false">IF($B156="","",H156-I156)</f>
        <v/>
      </c>
      <c r="K156" s="16" t="str">
        <f aca="false">IF($A156="","",DATE(YEAR($A156),MONTH($A156),1))</f>
        <v/>
      </c>
    </row>
    <row r="157" customFormat="false" ht="15" hidden="false" customHeight="false" outlineLevel="0" collapsed="false">
      <c r="A157" s="25"/>
      <c r="B157" s="19"/>
      <c r="C157" s="19"/>
      <c r="D157" s="26"/>
      <c r="E157" s="27" t="str">
        <f aca="false">IF($B157="","",IFERROR(INDEX(Products!$B$2:$B$201,MATCH($B157,Products!$A$2:$A$201,0)),"Unknown code"))</f>
        <v/>
      </c>
      <c r="F157" s="22" t="str">
        <f aca="false">IF($B157="","",IFERROR(INDEX(Products!$C$2:$C$201,MATCH($B157,Products!$A$2:$A$201,0)),""))</f>
        <v/>
      </c>
      <c r="G157" s="17" t="str">
        <f aca="false">IF($B157="","",IFERROR(INDEX(Products!$D$2:$D$201,MATCH($B157,Products!$A$2:$A$201,0)),0))</f>
        <v/>
      </c>
      <c r="H157" s="17" t="str">
        <f aca="false">IF($B157="","",C157*G157*(1-D157))</f>
        <v/>
      </c>
      <c r="I157" s="17" t="str">
        <f aca="false">IF($B157="","",C157*IFERROR(INDEX(Products!$E$2:$E$201,MATCH($B157,Products!$A$2:$A$201,0)),0))</f>
        <v/>
      </c>
      <c r="J157" s="17" t="str">
        <f aca="false">IF($B157="","",H157-I157)</f>
        <v/>
      </c>
      <c r="K157" s="16" t="str">
        <f aca="false">IF($A157="","",DATE(YEAR($A157),MONTH($A157),1))</f>
        <v/>
      </c>
    </row>
    <row r="158" customFormat="false" ht="15" hidden="false" customHeight="false" outlineLevel="0" collapsed="false">
      <c r="A158" s="25"/>
      <c r="B158" s="19"/>
      <c r="C158" s="19"/>
      <c r="D158" s="26"/>
      <c r="E158" s="27" t="str">
        <f aca="false">IF($B158="","",IFERROR(INDEX(Products!$B$2:$B$201,MATCH($B158,Products!$A$2:$A$201,0)),"Unknown code"))</f>
        <v/>
      </c>
      <c r="F158" s="22" t="str">
        <f aca="false">IF($B158="","",IFERROR(INDEX(Products!$C$2:$C$201,MATCH($B158,Products!$A$2:$A$201,0)),""))</f>
        <v/>
      </c>
      <c r="G158" s="17" t="str">
        <f aca="false">IF($B158="","",IFERROR(INDEX(Products!$D$2:$D$201,MATCH($B158,Products!$A$2:$A$201,0)),0))</f>
        <v/>
      </c>
      <c r="H158" s="17" t="str">
        <f aca="false">IF($B158="","",C158*G158*(1-D158))</f>
        <v/>
      </c>
      <c r="I158" s="17" t="str">
        <f aca="false">IF($B158="","",C158*IFERROR(INDEX(Products!$E$2:$E$201,MATCH($B158,Products!$A$2:$A$201,0)),0))</f>
        <v/>
      </c>
      <c r="J158" s="17" t="str">
        <f aca="false">IF($B158="","",H158-I158)</f>
        <v/>
      </c>
      <c r="K158" s="16" t="str">
        <f aca="false">IF($A158="","",DATE(YEAR($A158),MONTH($A158),1))</f>
        <v/>
      </c>
    </row>
    <row r="159" customFormat="false" ht="15" hidden="false" customHeight="false" outlineLevel="0" collapsed="false">
      <c r="A159" s="25"/>
      <c r="B159" s="19"/>
      <c r="C159" s="19"/>
      <c r="D159" s="26"/>
      <c r="E159" s="27" t="str">
        <f aca="false">IF($B159="","",IFERROR(INDEX(Products!$B$2:$B$201,MATCH($B159,Products!$A$2:$A$201,0)),"Unknown code"))</f>
        <v/>
      </c>
      <c r="F159" s="22" t="str">
        <f aca="false">IF($B159="","",IFERROR(INDEX(Products!$C$2:$C$201,MATCH($B159,Products!$A$2:$A$201,0)),""))</f>
        <v/>
      </c>
      <c r="G159" s="17" t="str">
        <f aca="false">IF($B159="","",IFERROR(INDEX(Products!$D$2:$D$201,MATCH($B159,Products!$A$2:$A$201,0)),0))</f>
        <v/>
      </c>
      <c r="H159" s="17" t="str">
        <f aca="false">IF($B159="","",C159*G159*(1-D159))</f>
        <v/>
      </c>
      <c r="I159" s="17" t="str">
        <f aca="false">IF($B159="","",C159*IFERROR(INDEX(Products!$E$2:$E$201,MATCH($B159,Products!$A$2:$A$201,0)),0))</f>
        <v/>
      </c>
      <c r="J159" s="17" t="str">
        <f aca="false">IF($B159="","",H159-I159)</f>
        <v/>
      </c>
      <c r="K159" s="16" t="str">
        <f aca="false">IF($A159="","",DATE(YEAR($A159),MONTH($A159),1))</f>
        <v/>
      </c>
    </row>
    <row r="160" customFormat="false" ht="15" hidden="false" customHeight="false" outlineLevel="0" collapsed="false">
      <c r="A160" s="25"/>
      <c r="B160" s="19"/>
      <c r="C160" s="19"/>
      <c r="D160" s="26"/>
      <c r="E160" s="27" t="str">
        <f aca="false">IF($B160="","",IFERROR(INDEX(Products!$B$2:$B$201,MATCH($B160,Products!$A$2:$A$201,0)),"Unknown code"))</f>
        <v/>
      </c>
      <c r="F160" s="22" t="str">
        <f aca="false">IF($B160="","",IFERROR(INDEX(Products!$C$2:$C$201,MATCH($B160,Products!$A$2:$A$201,0)),""))</f>
        <v/>
      </c>
      <c r="G160" s="17" t="str">
        <f aca="false">IF($B160="","",IFERROR(INDEX(Products!$D$2:$D$201,MATCH($B160,Products!$A$2:$A$201,0)),0))</f>
        <v/>
      </c>
      <c r="H160" s="17" t="str">
        <f aca="false">IF($B160="","",C160*G160*(1-D160))</f>
        <v/>
      </c>
      <c r="I160" s="17" t="str">
        <f aca="false">IF($B160="","",C160*IFERROR(INDEX(Products!$E$2:$E$201,MATCH($B160,Products!$A$2:$A$201,0)),0))</f>
        <v/>
      </c>
      <c r="J160" s="17" t="str">
        <f aca="false">IF($B160="","",H160-I160)</f>
        <v/>
      </c>
      <c r="K160" s="16" t="str">
        <f aca="false">IF($A160="","",DATE(YEAR($A160),MONTH($A160),1))</f>
        <v/>
      </c>
    </row>
    <row r="161" customFormat="false" ht="15" hidden="false" customHeight="false" outlineLevel="0" collapsed="false">
      <c r="A161" s="25"/>
      <c r="B161" s="19"/>
      <c r="C161" s="19"/>
      <c r="D161" s="26"/>
      <c r="E161" s="27" t="str">
        <f aca="false">IF($B161="","",IFERROR(INDEX(Products!$B$2:$B$201,MATCH($B161,Products!$A$2:$A$201,0)),"Unknown code"))</f>
        <v/>
      </c>
      <c r="F161" s="22" t="str">
        <f aca="false">IF($B161="","",IFERROR(INDEX(Products!$C$2:$C$201,MATCH($B161,Products!$A$2:$A$201,0)),""))</f>
        <v/>
      </c>
      <c r="G161" s="17" t="str">
        <f aca="false">IF($B161="","",IFERROR(INDEX(Products!$D$2:$D$201,MATCH($B161,Products!$A$2:$A$201,0)),0))</f>
        <v/>
      </c>
      <c r="H161" s="17" t="str">
        <f aca="false">IF($B161="","",C161*G161*(1-D161))</f>
        <v/>
      </c>
      <c r="I161" s="17" t="str">
        <f aca="false">IF($B161="","",C161*IFERROR(INDEX(Products!$E$2:$E$201,MATCH($B161,Products!$A$2:$A$201,0)),0))</f>
        <v/>
      </c>
      <c r="J161" s="17" t="str">
        <f aca="false">IF($B161="","",H161-I161)</f>
        <v/>
      </c>
      <c r="K161" s="16" t="str">
        <f aca="false">IF($A161="","",DATE(YEAR($A161),MONTH($A161),1))</f>
        <v/>
      </c>
    </row>
    <row r="162" customFormat="false" ht="15" hidden="false" customHeight="false" outlineLevel="0" collapsed="false">
      <c r="A162" s="25"/>
      <c r="B162" s="19"/>
      <c r="C162" s="19"/>
      <c r="D162" s="26"/>
      <c r="E162" s="27" t="str">
        <f aca="false">IF($B162="","",IFERROR(INDEX(Products!$B$2:$B$201,MATCH($B162,Products!$A$2:$A$201,0)),"Unknown code"))</f>
        <v/>
      </c>
      <c r="F162" s="22" t="str">
        <f aca="false">IF($B162="","",IFERROR(INDEX(Products!$C$2:$C$201,MATCH($B162,Products!$A$2:$A$201,0)),""))</f>
        <v/>
      </c>
      <c r="G162" s="17" t="str">
        <f aca="false">IF($B162="","",IFERROR(INDEX(Products!$D$2:$D$201,MATCH($B162,Products!$A$2:$A$201,0)),0))</f>
        <v/>
      </c>
      <c r="H162" s="17" t="str">
        <f aca="false">IF($B162="","",C162*G162*(1-D162))</f>
        <v/>
      </c>
      <c r="I162" s="17" t="str">
        <f aca="false">IF($B162="","",C162*IFERROR(INDEX(Products!$E$2:$E$201,MATCH($B162,Products!$A$2:$A$201,0)),0))</f>
        <v/>
      </c>
      <c r="J162" s="17" t="str">
        <f aca="false">IF($B162="","",H162-I162)</f>
        <v/>
      </c>
      <c r="K162" s="16" t="str">
        <f aca="false">IF($A162="","",DATE(YEAR($A162),MONTH($A162),1))</f>
        <v/>
      </c>
    </row>
    <row r="163" customFormat="false" ht="15" hidden="false" customHeight="false" outlineLevel="0" collapsed="false">
      <c r="A163" s="25"/>
      <c r="B163" s="19"/>
      <c r="C163" s="19"/>
      <c r="D163" s="26"/>
      <c r="E163" s="27" t="str">
        <f aca="false">IF($B163="","",IFERROR(INDEX(Products!$B$2:$B$201,MATCH($B163,Products!$A$2:$A$201,0)),"Unknown code"))</f>
        <v/>
      </c>
      <c r="F163" s="22" t="str">
        <f aca="false">IF($B163="","",IFERROR(INDEX(Products!$C$2:$C$201,MATCH($B163,Products!$A$2:$A$201,0)),""))</f>
        <v/>
      </c>
      <c r="G163" s="17" t="str">
        <f aca="false">IF($B163="","",IFERROR(INDEX(Products!$D$2:$D$201,MATCH($B163,Products!$A$2:$A$201,0)),0))</f>
        <v/>
      </c>
      <c r="H163" s="17" t="str">
        <f aca="false">IF($B163="","",C163*G163*(1-D163))</f>
        <v/>
      </c>
      <c r="I163" s="17" t="str">
        <f aca="false">IF($B163="","",C163*IFERROR(INDEX(Products!$E$2:$E$201,MATCH($B163,Products!$A$2:$A$201,0)),0))</f>
        <v/>
      </c>
      <c r="J163" s="17" t="str">
        <f aca="false">IF($B163="","",H163-I163)</f>
        <v/>
      </c>
      <c r="K163" s="16" t="str">
        <f aca="false">IF($A163="","",DATE(YEAR($A163),MONTH($A163),1))</f>
        <v/>
      </c>
    </row>
    <row r="164" customFormat="false" ht="15" hidden="false" customHeight="false" outlineLevel="0" collapsed="false">
      <c r="A164" s="25"/>
      <c r="B164" s="19"/>
      <c r="C164" s="19"/>
      <c r="D164" s="26"/>
      <c r="E164" s="27" t="str">
        <f aca="false">IF($B164="","",IFERROR(INDEX(Products!$B$2:$B$201,MATCH($B164,Products!$A$2:$A$201,0)),"Unknown code"))</f>
        <v/>
      </c>
      <c r="F164" s="22" t="str">
        <f aca="false">IF($B164="","",IFERROR(INDEX(Products!$C$2:$C$201,MATCH($B164,Products!$A$2:$A$201,0)),""))</f>
        <v/>
      </c>
      <c r="G164" s="17" t="str">
        <f aca="false">IF($B164="","",IFERROR(INDEX(Products!$D$2:$D$201,MATCH($B164,Products!$A$2:$A$201,0)),0))</f>
        <v/>
      </c>
      <c r="H164" s="17" t="str">
        <f aca="false">IF($B164="","",C164*G164*(1-D164))</f>
        <v/>
      </c>
      <c r="I164" s="17" t="str">
        <f aca="false">IF($B164="","",C164*IFERROR(INDEX(Products!$E$2:$E$201,MATCH($B164,Products!$A$2:$A$201,0)),0))</f>
        <v/>
      </c>
      <c r="J164" s="17" t="str">
        <f aca="false">IF($B164="","",H164-I164)</f>
        <v/>
      </c>
      <c r="K164" s="16" t="str">
        <f aca="false">IF($A164="","",DATE(YEAR($A164),MONTH($A164),1))</f>
        <v/>
      </c>
    </row>
    <row r="165" customFormat="false" ht="15" hidden="false" customHeight="false" outlineLevel="0" collapsed="false">
      <c r="A165" s="25"/>
      <c r="B165" s="19"/>
      <c r="C165" s="19"/>
      <c r="D165" s="26"/>
      <c r="E165" s="27" t="str">
        <f aca="false">IF($B165="","",IFERROR(INDEX(Products!$B$2:$B$201,MATCH($B165,Products!$A$2:$A$201,0)),"Unknown code"))</f>
        <v/>
      </c>
      <c r="F165" s="22" t="str">
        <f aca="false">IF($B165="","",IFERROR(INDEX(Products!$C$2:$C$201,MATCH($B165,Products!$A$2:$A$201,0)),""))</f>
        <v/>
      </c>
      <c r="G165" s="17" t="str">
        <f aca="false">IF($B165="","",IFERROR(INDEX(Products!$D$2:$D$201,MATCH($B165,Products!$A$2:$A$201,0)),0))</f>
        <v/>
      </c>
      <c r="H165" s="17" t="str">
        <f aca="false">IF($B165="","",C165*G165*(1-D165))</f>
        <v/>
      </c>
      <c r="I165" s="17" t="str">
        <f aca="false">IF($B165="","",C165*IFERROR(INDEX(Products!$E$2:$E$201,MATCH($B165,Products!$A$2:$A$201,0)),0))</f>
        <v/>
      </c>
      <c r="J165" s="17" t="str">
        <f aca="false">IF($B165="","",H165-I165)</f>
        <v/>
      </c>
      <c r="K165" s="16" t="str">
        <f aca="false">IF($A165="","",DATE(YEAR($A165),MONTH($A165),1))</f>
        <v/>
      </c>
    </row>
    <row r="166" customFormat="false" ht="15" hidden="false" customHeight="false" outlineLevel="0" collapsed="false">
      <c r="A166" s="25"/>
      <c r="B166" s="19"/>
      <c r="C166" s="19"/>
      <c r="D166" s="26"/>
      <c r="E166" s="27" t="str">
        <f aca="false">IF($B166="","",IFERROR(INDEX(Products!$B$2:$B$201,MATCH($B166,Products!$A$2:$A$201,0)),"Unknown code"))</f>
        <v/>
      </c>
      <c r="F166" s="22" t="str">
        <f aca="false">IF($B166="","",IFERROR(INDEX(Products!$C$2:$C$201,MATCH($B166,Products!$A$2:$A$201,0)),""))</f>
        <v/>
      </c>
      <c r="G166" s="17" t="str">
        <f aca="false">IF($B166="","",IFERROR(INDEX(Products!$D$2:$D$201,MATCH($B166,Products!$A$2:$A$201,0)),0))</f>
        <v/>
      </c>
      <c r="H166" s="17" t="str">
        <f aca="false">IF($B166="","",C166*G166*(1-D166))</f>
        <v/>
      </c>
      <c r="I166" s="17" t="str">
        <f aca="false">IF($B166="","",C166*IFERROR(INDEX(Products!$E$2:$E$201,MATCH($B166,Products!$A$2:$A$201,0)),0))</f>
        <v/>
      </c>
      <c r="J166" s="17" t="str">
        <f aca="false">IF($B166="","",H166-I166)</f>
        <v/>
      </c>
      <c r="K166" s="16" t="str">
        <f aca="false">IF($A166="","",DATE(YEAR($A166),MONTH($A166),1))</f>
        <v/>
      </c>
    </row>
    <row r="167" customFormat="false" ht="15" hidden="false" customHeight="false" outlineLevel="0" collapsed="false">
      <c r="A167" s="25"/>
      <c r="B167" s="19"/>
      <c r="C167" s="19"/>
      <c r="D167" s="26"/>
      <c r="E167" s="27" t="str">
        <f aca="false">IF($B167="","",IFERROR(INDEX(Products!$B$2:$B$201,MATCH($B167,Products!$A$2:$A$201,0)),"Unknown code"))</f>
        <v/>
      </c>
      <c r="F167" s="22" t="str">
        <f aca="false">IF($B167="","",IFERROR(INDEX(Products!$C$2:$C$201,MATCH($B167,Products!$A$2:$A$201,0)),""))</f>
        <v/>
      </c>
      <c r="G167" s="17" t="str">
        <f aca="false">IF($B167="","",IFERROR(INDEX(Products!$D$2:$D$201,MATCH($B167,Products!$A$2:$A$201,0)),0))</f>
        <v/>
      </c>
      <c r="H167" s="17" t="str">
        <f aca="false">IF($B167="","",C167*G167*(1-D167))</f>
        <v/>
      </c>
      <c r="I167" s="17" t="str">
        <f aca="false">IF($B167="","",C167*IFERROR(INDEX(Products!$E$2:$E$201,MATCH($B167,Products!$A$2:$A$201,0)),0))</f>
        <v/>
      </c>
      <c r="J167" s="17" t="str">
        <f aca="false">IF($B167="","",H167-I167)</f>
        <v/>
      </c>
      <c r="K167" s="16" t="str">
        <f aca="false">IF($A167="","",DATE(YEAR($A167),MONTH($A167),1))</f>
        <v/>
      </c>
    </row>
    <row r="168" customFormat="false" ht="15" hidden="false" customHeight="false" outlineLevel="0" collapsed="false">
      <c r="A168" s="25"/>
      <c r="B168" s="19"/>
      <c r="C168" s="19"/>
      <c r="D168" s="26"/>
      <c r="E168" s="27" t="str">
        <f aca="false">IF($B168="","",IFERROR(INDEX(Products!$B$2:$B$201,MATCH($B168,Products!$A$2:$A$201,0)),"Unknown code"))</f>
        <v/>
      </c>
      <c r="F168" s="22" t="str">
        <f aca="false">IF($B168="","",IFERROR(INDEX(Products!$C$2:$C$201,MATCH($B168,Products!$A$2:$A$201,0)),""))</f>
        <v/>
      </c>
      <c r="G168" s="17" t="str">
        <f aca="false">IF($B168="","",IFERROR(INDEX(Products!$D$2:$D$201,MATCH($B168,Products!$A$2:$A$201,0)),0))</f>
        <v/>
      </c>
      <c r="H168" s="17" t="str">
        <f aca="false">IF($B168="","",C168*G168*(1-D168))</f>
        <v/>
      </c>
      <c r="I168" s="17" t="str">
        <f aca="false">IF($B168="","",C168*IFERROR(INDEX(Products!$E$2:$E$201,MATCH($B168,Products!$A$2:$A$201,0)),0))</f>
        <v/>
      </c>
      <c r="J168" s="17" t="str">
        <f aca="false">IF($B168="","",H168-I168)</f>
        <v/>
      </c>
      <c r="K168" s="16" t="str">
        <f aca="false">IF($A168="","",DATE(YEAR($A168),MONTH($A168),1))</f>
        <v/>
      </c>
    </row>
    <row r="169" customFormat="false" ht="15" hidden="false" customHeight="false" outlineLevel="0" collapsed="false">
      <c r="A169" s="25"/>
      <c r="B169" s="19"/>
      <c r="C169" s="19"/>
      <c r="D169" s="26"/>
      <c r="E169" s="27" t="str">
        <f aca="false">IF($B169="","",IFERROR(INDEX(Products!$B$2:$B$201,MATCH($B169,Products!$A$2:$A$201,0)),"Unknown code"))</f>
        <v/>
      </c>
      <c r="F169" s="22" t="str">
        <f aca="false">IF($B169="","",IFERROR(INDEX(Products!$C$2:$C$201,MATCH($B169,Products!$A$2:$A$201,0)),""))</f>
        <v/>
      </c>
      <c r="G169" s="17" t="str">
        <f aca="false">IF($B169="","",IFERROR(INDEX(Products!$D$2:$D$201,MATCH($B169,Products!$A$2:$A$201,0)),0))</f>
        <v/>
      </c>
      <c r="H169" s="17" t="str">
        <f aca="false">IF($B169="","",C169*G169*(1-D169))</f>
        <v/>
      </c>
      <c r="I169" s="17" t="str">
        <f aca="false">IF($B169="","",C169*IFERROR(INDEX(Products!$E$2:$E$201,MATCH($B169,Products!$A$2:$A$201,0)),0))</f>
        <v/>
      </c>
      <c r="J169" s="17" t="str">
        <f aca="false">IF($B169="","",H169-I169)</f>
        <v/>
      </c>
      <c r="K169" s="16" t="str">
        <f aca="false">IF($A169="","",DATE(YEAR($A169),MONTH($A169),1))</f>
        <v/>
      </c>
    </row>
    <row r="170" customFormat="false" ht="15" hidden="false" customHeight="false" outlineLevel="0" collapsed="false">
      <c r="A170" s="25"/>
      <c r="B170" s="19"/>
      <c r="C170" s="19"/>
      <c r="D170" s="26"/>
      <c r="E170" s="27" t="str">
        <f aca="false">IF($B170="","",IFERROR(INDEX(Products!$B$2:$B$201,MATCH($B170,Products!$A$2:$A$201,0)),"Unknown code"))</f>
        <v/>
      </c>
      <c r="F170" s="22" t="str">
        <f aca="false">IF($B170="","",IFERROR(INDEX(Products!$C$2:$C$201,MATCH($B170,Products!$A$2:$A$201,0)),""))</f>
        <v/>
      </c>
      <c r="G170" s="17" t="str">
        <f aca="false">IF($B170="","",IFERROR(INDEX(Products!$D$2:$D$201,MATCH($B170,Products!$A$2:$A$201,0)),0))</f>
        <v/>
      </c>
      <c r="H170" s="17" t="str">
        <f aca="false">IF($B170="","",C170*G170*(1-D170))</f>
        <v/>
      </c>
      <c r="I170" s="17" t="str">
        <f aca="false">IF($B170="","",C170*IFERROR(INDEX(Products!$E$2:$E$201,MATCH($B170,Products!$A$2:$A$201,0)),0))</f>
        <v/>
      </c>
      <c r="J170" s="17" t="str">
        <f aca="false">IF($B170="","",H170-I170)</f>
        <v/>
      </c>
      <c r="K170" s="16" t="str">
        <f aca="false">IF($A170="","",DATE(YEAR($A170),MONTH($A170),1))</f>
        <v/>
      </c>
    </row>
    <row r="171" customFormat="false" ht="15" hidden="false" customHeight="false" outlineLevel="0" collapsed="false">
      <c r="A171" s="25"/>
      <c r="B171" s="19"/>
      <c r="C171" s="19"/>
      <c r="D171" s="26"/>
      <c r="E171" s="27" t="str">
        <f aca="false">IF($B171="","",IFERROR(INDEX(Products!$B$2:$B$201,MATCH($B171,Products!$A$2:$A$201,0)),"Unknown code"))</f>
        <v/>
      </c>
      <c r="F171" s="22" t="str">
        <f aca="false">IF($B171="","",IFERROR(INDEX(Products!$C$2:$C$201,MATCH($B171,Products!$A$2:$A$201,0)),""))</f>
        <v/>
      </c>
      <c r="G171" s="17" t="str">
        <f aca="false">IF($B171="","",IFERROR(INDEX(Products!$D$2:$D$201,MATCH($B171,Products!$A$2:$A$201,0)),0))</f>
        <v/>
      </c>
      <c r="H171" s="17" t="str">
        <f aca="false">IF($B171="","",C171*G171*(1-D171))</f>
        <v/>
      </c>
      <c r="I171" s="17" t="str">
        <f aca="false">IF($B171="","",C171*IFERROR(INDEX(Products!$E$2:$E$201,MATCH($B171,Products!$A$2:$A$201,0)),0))</f>
        <v/>
      </c>
      <c r="J171" s="17" t="str">
        <f aca="false">IF($B171="","",H171-I171)</f>
        <v/>
      </c>
      <c r="K171" s="16" t="str">
        <f aca="false">IF($A171="","",DATE(YEAR($A171),MONTH($A171),1))</f>
        <v/>
      </c>
    </row>
    <row r="172" customFormat="false" ht="15" hidden="false" customHeight="false" outlineLevel="0" collapsed="false">
      <c r="A172" s="25"/>
      <c r="B172" s="19"/>
      <c r="C172" s="19"/>
      <c r="D172" s="26"/>
      <c r="E172" s="27" t="str">
        <f aca="false">IF($B172="","",IFERROR(INDEX(Products!$B$2:$B$201,MATCH($B172,Products!$A$2:$A$201,0)),"Unknown code"))</f>
        <v/>
      </c>
      <c r="F172" s="22" t="str">
        <f aca="false">IF($B172="","",IFERROR(INDEX(Products!$C$2:$C$201,MATCH($B172,Products!$A$2:$A$201,0)),""))</f>
        <v/>
      </c>
      <c r="G172" s="17" t="str">
        <f aca="false">IF($B172="","",IFERROR(INDEX(Products!$D$2:$D$201,MATCH($B172,Products!$A$2:$A$201,0)),0))</f>
        <v/>
      </c>
      <c r="H172" s="17" t="str">
        <f aca="false">IF($B172="","",C172*G172*(1-D172))</f>
        <v/>
      </c>
      <c r="I172" s="17" t="str">
        <f aca="false">IF($B172="","",C172*IFERROR(INDEX(Products!$E$2:$E$201,MATCH($B172,Products!$A$2:$A$201,0)),0))</f>
        <v/>
      </c>
      <c r="J172" s="17" t="str">
        <f aca="false">IF($B172="","",H172-I172)</f>
        <v/>
      </c>
      <c r="K172" s="16" t="str">
        <f aca="false">IF($A172="","",DATE(YEAR($A172),MONTH($A172),1))</f>
        <v/>
      </c>
    </row>
    <row r="173" customFormat="false" ht="15" hidden="false" customHeight="false" outlineLevel="0" collapsed="false">
      <c r="A173" s="25"/>
      <c r="B173" s="19"/>
      <c r="C173" s="19"/>
      <c r="D173" s="26"/>
      <c r="E173" s="27" t="str">
        <f aca="false">IF($B173="","",IFERROR(INDEX(Products!$B$2:$B$201,MATCH($B173,Products!$A$2:$A$201,0)),"Unknown code"))</f>
        <v/>
      </c>
      <c r="F173" s="22" t="str">
        <f aca="false">IF($B173="","",IFERROR(INDEX(Products!$C$2:$C$201,MATCH($B173,Products!$A$2:$A$201,0)),""))</f>
        <v/>
      </c>
      <c r="G173" s="17" t="str">
        <f aca="false">IF($B173="","",IFERROR(INDEX(Products!$D$2:$D$201,MATCH($B173,Products!$A$2:$A$201,0)),0))</f>
        <v/>
      </c>
      <c r="H173" s="17" t="str">
        <f aca="false">IF($B173="","",C173*G173*(1-D173))</f>
        <v/>
      </c>
      <c r="I173" s="17" t="str">
        <f aca="false">IF($B173="","",C173*IFERROR(INDEX(Products!$E$2:$E$201,MATCH($B173,Products!$A$2:$A$201,0)),0))</f>
        <v/>
      </c>
      <c r="J173" s="17" t="str">
        <f aca="false">IF($B173="","",H173-I173)</f>
        <v/>
      </c>
      <c r="K173" s="16" t="str">
        <f aca="false">IF($A173="","",DATE(YEAR($A173),MONTH($A173),1))</f>
        <v/>
      </c>
    </row>
    <row r="174" customFormat="false" ht="15" hidden="false" customHeight="false" outlineLevel="0" collapsed="false">
      <c r="A174" s="25"/>
      <c r="B174" s="19"/>
      <c r="C174" s="19"/>
      <c r="D174" s="26"/>
      <c r="E174" s="27" t="str">
        <f aca="false">IF($B174="","",IFERROR(INDEX(Products!$B$2:$B$201,MATCH($B174,Products!$A$2:$A$201,0)),"Unknown code"))</f>
        <v/>
      </c>
      <c r="F174" s="22" t="str">
        <f aca="false">IF($B174="","",IFERROR(INDEX(Products!$C$2:$C$201,MATCH($B174,Products!$A$2:$A$201,0)),""))</f>
        <v/>
      </c>
      <c r="G174" s="17" t="str">
        <f aca="false">IF($B174="","",IFERROR(INDEX(Products!$D$2:$D$201,MATCH($B174,Products!$A$2:$A$201,0)),0))</f>
        <v/>
      </c>
      <c r="H174" s="17" t="str">
        <f aca="false">IF($B174="","",C174*G174*(1-D174))</f>
        <v/>
      </c>
      <c r="I174" s="17" t="str">
        <f aca="false">IF($B174="","",C174*IFERROR(INDEX(Products!$E$2:$E$201,MATCH($B174,Products!$A$2:$A$201,0)),0))</f>
        <v/>
      </c>
      <c r="J174" s="17" t="str">
        <f aca="false">IF($B174="","",H174-I174)</f>
        <v/>
      </c>
      <c r="K174" s="16" t="str">
        <f aca="false">IF($A174="","",DATE(YEAR($A174),MONTH($A174),1))</f>
        <v/>
      </c>
    </row>
    <row r="175" customFormat="false" ht="15" hidden="false" customHeight="false" outlineLevel="0" collapsed="false">
      <c r="A175" s="25"/>
      <c r="B175" s="19"/>
      <c r="C175" s="19"/>
      <c r="D175" s="26"/>
      <c r="E175" s="27" t="str">
        <f aca="false">IF($B175="","",IFERROR(INDEX(Products!$B$2:$B$201,MATCH($B175,Products!$A$2:$A$201,0)),"Unknown code"))</f>
        <v/>
      </c>
      <c r="F175" s="22" t="str">
        <f aca="false">IF($B175="","",IFERROR(INDEX(Products!$C$2:$C$201,MATCH($B175,Products!$A$2:$A$201,0)),""))</f>
        <v/>
      </c>
      <c r="G175" s="17" t="str">
        <f aca="false">IF($B175="","",IFERROR(INDEX(Products!$D$2:$D$201,MATCH($B175,Products!$A$2:$A$201,0)),0))</f>
        <v/>
      </c>
      <c r="H175" s="17" t="str">
        <f aca="false">IF($B175="","",C175*G175*(1-D175))</f>
        <v/>
      </c>
      <c r="I175" s="17" t="str">
        <f aca="false">IF($B175="","",C175*IFERROR(INDEX(Products!$E$2:$E$201,MATCH($B175,Products!$A$2:$A$201,0)),0))</f>
        <v/>
      </c>
      <c r="J175" s="17" t="str">
        <f aca="false">IF($B175="","",H175-I175)</f>
        <v/>
      </c>
      <c r="K175" s="16" t="str">
        <f aca="false">IF($A175="","",DATE(YEAR($A175),MONTH($A175),1))</f>
        <v/>
      </c>
    </row>
    <row r="176" customFormat="false" ht="15" hidden="false" customHeight="false" outlineLevel="0" collapsed="false">
      <c r="A176" s="25"/>
      <c r="B176" s="19"/>
      <c r="C176" s="19"/>
      <c r="D176" s="26"/>
      <c r="E176" s="27" t="str">
        <f aca="false">IF($B176="","",IFERROR(INDEX(Products!$B$2:$B$201,MATCH($B176,Products!$A$2:$A$201,0)),"Unknown code"))</f>
        <v/>
      </c>
      <c r="F176" s="22" t="str">
        <f aca="false">IF($B176="","",IFERROR(INDEX(Products!$C$2:$C$201,MATCH($B176,Products!$A$2:$A$201,0)),""))</f>
        <v/>
      </c>
      <c r="G176" s="17" t="str">
        <f aca="false">IF($B176="","",IFERROR(INDEX(Products!$D$2:$D$201,MATCH($B176,Products!$A$2:$A$201,0)),0))</f>
        <v/>
      </c>
      <c r="H176" s="17" t="str">
        <f aca="false">IF($B176="","",C176*G176*(1-D176))</f>
        <v/>
      </c>
      <c r="I176" s="17" t="str">
        <f aca="false">IF($B176="","",C176*IFERROR(INDEX(Products!$E$2:$E$201,MATCH($B176,Products!$A$2:$A$201,0)),0))</f>
        <v/>
      </c>
      <c r="J176" s="17" t="str">
        <f aca="false">IF($B176="","",H176-I176)</f>
        <v/>
      </c>
      <c r="K176" s="16" t="str">
        <f aca="false">IF($A176="","",DATE(YEAR($A176),MONTH($A176),1))</f>
        <v/>
      </c>
    </row>
    <row r="177" customFormat="false" ht="15" hidden="false" customHeight="false" outlineLevel="0" collapsed="false">
      <c r="A177" s="25"/>
      <c r="B177" s="19"/>
      <c r="C177" s="19"/>
      <c r="D177" s="26"/>
      <c r="E177" s="27" t="str">
        <f aca="false">IF($B177="","",IFERROR(INDEX(Products!$B$2:$B$201,MATCH($B177,Products!$A$2:$A$201,0)),"Unknown code"))</f>
        <v/>
      </c>
      <c r="F177" s="22" t="str">
        <f aca="false">IF($B177="","",IFERROR(INDEX(Products!$C$2:$C$201,MATCH($B177,Products!$A$2:$A$201,0)),""))</f>
        <v/>
      </c>
      <c r="G177" s="17" t="str">
        <f aca="false">IF($B177="","",IFERROR(INDEX(Products!$D$2:$D$201,MATCH($B177,Products!$A$2:$A$201,0)),0))</f>
        <v/>
      </c>
      <c r="H177" s="17" t="str">
        <f aca="false">IF($B177="","",C177*G177*(1-D177))</f>
        <v/>
      </c>
      <c r="I177" s="17" t="str">
        <f aca="false">IF($B177="","",C177*IFERROR(INDEX(Products!$E$2:$E$201,MATCH($B177,Products!$A$2:$A$201,0)),0))</f>
        <v/>
      </c>
      <c r="J177" s="17" t="str">
        <f aca="false">IF($B177="","",H177-I177)</f>
        <v/>
      </c>
      <c r="K177" s="16" t="str">
        <f aca="false">IF($A177="","",DATE(YEAR($A177),MONTH($A177),1))</f>
        <v/>
      </c>
    </row>
    <row r="178" customFormat="false" ht="15" hidden="false" customHeight="false" outlineLevel="0" collapsed="false">
      <c r="A178" s="25"/>
      <c r="B178" s="19"/>
      <c r="C178" s="19"/>
      <c r="D178" s="26"/>
      <c r="E178" s="27" t="str">
        <f aca="false">IF($B178="","",IFERROR(INDEX(Products!$B$2:$B$201,MATCH($B178,Products!$A$2:$A$201,0)),"Unknown code"))</f>
        <v/>
      </c>
      <c r="F178" s="22" t="str">
        <f aca="false">IF($B178="","",IFERROR(INDEX(Products!$C$2:$C$201,MATCH($B178,Products!$A$2:$A$201,0)),""))</f>
        <v/>
      </c>
      <c r="G178" s="17" t="str">
        <f aca="false">IF($B178="","",IFERROR(INDEX(Products!$D$2:$D$201,MATCH($B178,Products!$A$2:$A$201,0)),0))</f>
        <v/>
      </c>
      <c r="H178" s="17" t="str">
        <f aca="false">IF($B178="","",C178*G178*(1-D178))</f>
        <v/>
      </c>
      <c r="I178" s="17" t="str">
        <f aca="false">IF($B178="","",C178*IFERROR(INDEX(Products!$E$2:$E$201,MATCH($B178,Products!$A$2:$A$201,0)),0))</f>
        <v/>
      </c>
      <c r="J178" s="17" t="str">
        <f aca="false">IF($B178="","",H178-I178)</f>
        <v/>
      </c>
      <c r="K178" s="16" t="str">
        <f aca="false">IF($A178="","",DATE(YEAR($A178),MONTH($A178),1))</f>
        <v/>
      </c>
    </row>
    <row r="179" customFormat="false" ht="15" hidden="false" customHeight="false" outlineLevel="0" collapsed="false">
      <c r="A179" s="25"/>
      <c r="B179" s="19"/>
      <c r="C179" s="19"/>
      <c r="D179" s="26"/>
      <c r="E179" s="27" t="str">
        <f aca="false">IF($B179="","",IFERROR(INDEX(Products!$B$2:$B$201,MATCH($B179,Products!$A$2:$A$201,0)),"Unknown code"))</f>
        <v/>
      </c>
      <c r="F179" s="22" t="str">
        <f aca="false">IF($B179="","",IFERROR(INDEX(Products!$C$2:$C$201,MATCH($B179,Products!$A$2:$A$201,0)),""))</f>
        <v/>
      </c>
      <c r="G179" s="17" t="str">
        <f aca="false">IF($B179="","",IFERROR(INDEX(Products!$D$2:$D$201,MATCH($B179,Products!$A$2:$A$201,0)),0))</f>
        <v/>
      </c>
      <c r="H179" s="17" t="str">
        <f aca="false">IF($B179="","",C179*G179*(1-D179))</f>
        <v/>
      </c>
      <c r="I179" s="17" t="str">
        <f aca="false">IF($B179="","",C179*IFERROR(INDEX(Products!$E$2:$E$201,MATCH($B179,Products!$A$2:$A$201,0)),0))</f>
        <v/>
      </c>
      <c r="J179" s="17" t="str">
        <f aca="false">IF($B179="","",H179-I179)</f>
        <v/>
      </c>
      <c r="K179" s="16" t="str">
        <f aca="false">IF($A179="","",DATE(YEAR($A179),MONTH($A179),1))</f>
        <v/>
      </c>
    </row>
    <row r="180" customFormat="false" ht="15" hidden="false" customHeight="false" outlineLevel="0" collapsed="false">
      <c r="A180" s="25"/>
      <c r="B180" s="19"/>
      <c r="C180" s="19"/>
      <c r="D180" s="26"/>
      <c r="E180" s="27" t="str">
        <f aca="false">IF($B180="","",IFERROR(INDEX(Products!$B$2:$B$201,MATCH($B180,Products!$A$2:$A$201,0)),"Unknown code"))</f>
        <v/>
      </c>
      <c r="F180" s="22" t="str">
        <f aca="false">IF($B180="","",IFERROR(INDEX(Products!$C$2:$C$201,MATCH($B180,Products!$A$2:$A$201,0)),""))</f>
        <v/>
      </c>
      <c r="G180" s="17" t="str">
        <f aca="false">IF($B180="","",IFERROR(INDEX(Products!$D$2:$D$201,MATCH($B180,Products!$A$2:$A$201,0)),0))</f>
        <v/>
      </c>
      <c r="H180" s="17" t="str">
        <f aca="false">IF($B180="","",C180*G180*(1-D180))</f>
        <v/>
      </c>
      <c r="I180" s="17" t="str">
        <f aca="false">IF($B180="","",C180*IFERROR(INDEX(Products!$E$2:$E$201,MATCH($B180,Products!$A$2:$A$201,0)),0))</f>
        <v/>
      </c>
      <c r="J180" s="17" t="str">
        <f aca="false">IF($B180="","",H180-I180)</f>
        <v/>
      </c>
      <c r="K180" s="16" t="str">
        <f aca="false">IF($A180="","",DATE(YEAR($A180),MONTH($A180),1))</f>
        <v/>
      </c>
    </row>
    <row r="181" customFormat="false" ht="15" hidden="false" customHeight="false" outlineLevel="0" collapsed="false">
      <c r="A181" s="25"/>
      <c r="B181" s="19"/>
      <c r="C181" s="19"/>
      <c r="D181" s="26"/>
      <c r="E181" s="27" t="str">
        <f aca="false">IF($B181="","",IFERROR(INDEX(Products!$B$2:$B$201,MATCH($B181,Products!$A$2:$A$201,0)),"Unknown code"))</f>
        <v/>
      </c>
      <c r="F181" s="22" t="str">
        <f aca="false">IF($B181="","",IFERROR(INDEX(Products!$C$2:$C$201,MATCH($B181,Products!$A$2:$A$201,0)),""))</f>
        <v/>
      </c>
      <c r="G181" s="17" t="str">
        <f aca="false">IF($B181="","",IFERROR(INDEX(Products!$D$2:$D$201,MATCH($B181,Products!$A$2:$A$201,0)),0))</f>
        <v/>
      </c>
      <c r="H181" s="17" t="str">
        <f aca="false">IF($B181="","",C181*G181*(1-D181))</f>
        <v/>
      </c>
      <c r="I181" s="17" t="str">
        <f aca="false">IF($B181="","",C181*IFERROR(INDEX(Products!$E$2:$E$201,MATCH($B181,Products!$A$2:$A$201,0)),0))</f>
        <v/>
      </c>
      <c r="J181" s="17" t="str">
        <f aca="false">IF($B181="","",H181-I181)</f>
        <v/>
      </c>
      <c r="K181" s="16" t="str">
        <f aca="false">IF($A181="","",DATE(YEAR($A181),MONTH($A181),1))</f>
        <v/>
      </c>
    </row>
    <row r="182" customFormat="false" ht="15" hidden="false" customHeight="false" outlineLevel="0" collapsed="false">
      <c r="A182" s="25"/>
      <c r="B182" s="19"/>
      <c r="C182" s="19"/>
      <c r="D182" s="26"/>
      <c r="E182" s="27" t="str">
        <f aca="false">IF($B182="","",IFERROR(INDEX(Products!$B$2:$B$201,MATCH($B182,Products!$A$2:$A$201,0)),"Unknown code"))</f>
        <v/>
      </c>
      <c r="F182" s="22" t="str">
        <f aca="false">IF($B182="","",IFERROR(INDEX(Products!$C$2:$C$201,MATCH($B182,Products!$A$2:$A$201,0)),""))</f>
        <v/>
      </c>
      <c r="G182" s="17" t="str">
        <f aca="false">IF($B182="","",IFERROR(INDEX(Products!$D$2:$D$201,MATCH($B182,Products!$A$2:$A$201,0)),0))</f>
        <v/>
      </c>
      <c r="H182" s="17" t="str">
        <f aca="false">IF($B182="","",C182*G182*(1-D182))</f>
        <v/>
      </c>
      <c r="I182" s="17" t="str">
        <f aca="false">IF($B182="","",C182*IFERROR(INDEX(Products!$E$2:$E$201,MATCH($B182,Products!$A$2:$A$201,0)),0))</f>
        <v/>
      </c>
      <c r="J182" s="17" t="str">
        <f aca="false">IF($B182="","",H182-I182)</f>
        <v/>
      </c>
      <c r="K182" s="16" t="str">
        <f aca="false">IF($A182="","",DATE(YEAR($A182),MONTH($A182),1))</f>
        <v/>
      </c>
    </row>
    <row r="183" customFormat="false" ht="15" hidden="false" customHeight="false" outlineLevel="0" collapsed="false">
      <c r="A183" s="25"/>
      <c r="B183" s="19"/>
      <c r="C183" s="19"/>
      <c r="D183" s="26"/>
      <c r="E183" s="27" t="str">
        <f aca="false">IF($B183="","",IFERROR(INDEX(Products!$B$2:$B$201,MATCH($B183,Products!$A$2:$A$201,0)),"Unknown code"))</f>
        <v/>
      </c>
      <c r="F183" s="22" t="str">
        <f aca="false">IF($B183="","",IFERROR(INDEX(Products!$C$2:$C$201,MATCH($B183,Products!$A$2:$A$201,0)),""))</f>
        <v/>
      </c>
      <c r="G183" s="17" t="str">
        <f aca="false">IF($B183="","",IFERROR(INDEX(Products!$D$2:$D$201,MATCH($B183,Products!$A$2:$A$201,0)),0))</f>
        <v/>
      </c>
      <c r="H183" s="17" t="str">
        <f aca="false">IF($B183="","",C183*G183*(1-D183))</f>
        <v/>
      </c>
      <c r="I183" s="17" t="str">
        <f aca="false">IF($B183="","",C183*IFERROR(INDEX(Products!$E$2:$E$201,MATCH($B183,Products!$A$2:$A$201,0)),0))</f>
        <v/>
      </c>
      <c r="J183" s="17" t="str">
        <f aca="false">IF($B183="","",H183-I183)</f>
        <v/>
      </c>
      <c r="K183" s="16" t="str">
        <f aca="false">IF($A183="","",DATE(YEAR($A183),MONTH($A183),1))</f>
        <v/>
      </c>
    </row>
    <row r="184" customFormat="false" ht="15" hidden="false" customHeight="false" outlineLevel="0" collapsed="false">
      <c r="A184" s="25"/>
      <c r="B184" s="19"/>
      <c r="C184" s="19"/>
      <c r="D184" s="26"/>
      <c r="E184" s="27" t="str">
        <f aca="false">IF($B184="","",IFERROR(INDEX(Products!$B$2:$B$201,MATCH($B184,Products!$A$2:$A$201,0)),"Unknown code"))</f>
        <v/>
      </c>
      <c r="F184" s="22" t="str">
        <f aca="false">IF($B184="","",IFERROR(INDEX(Products!$C$2:$C$201,MATCH($B184,Products!$A$2:$A$201,0)),""))</f>
        <v/>
      </c>
      <c r="G184" s="17" t="str">
        <f aca="false">IF($B184="","",IFERROR(INDEX(Products!$D$2:$D$201,MATCH($B184,Products!$A$2:$A$201,0)),0))</f>
        <v/>
      </c>
      <c r="H184" s="17" t="str">
        <f aca="false">IF($B184="","",C184*G184*(1-D184))</f>
        <v/>
      </c>
      <c r="I184" s="17" t="str">
        <f aca="false">IF($B184="","",C184*IFERROR(INDEX(Products!$E$2:$E$201,MATCH($B184,Products!$A$2:$A$201,0)),0))</f>
        <v/>
      </c>
      <c r="J184" s="17" t="str">
        <f aca="false">IF($B184="","",H184-I184)</f>
        <v/>
      </c>
      <c r="K184" s="16" t="str">
        <f aca="false">IF($A184="","",DATE(YEAR($A184),MONTH($A184),1))</f>
        <v/>
      </c>
    </row>
    <row r="185" customFormat="false" ht="15" hidden="false" customHeight="false" outlineLevel="0" collapsed="false">
      <c r="A185" s="25"/>
      <c r="B185" s="19"/>
      <c r="C185" s="19"/>
      <c r="D185" s="26"/>
      <c r="E185" s="27" t="str">
        <f aca="false">IF($B185="","",IFERROR(INDEX(Products!$B$2:$B$201,MATCH($B185,Products!$A$2:$A$201,0)),"Unknown code"))</f>
        <v/>
      </c>
      <c r="F185" s="22" t="str">
        <f aca="false">IF($B185="","",IFERROR(INDEX(Products!$C$2:$C$201,MATCH($B185,Products!$A$2:$A$201,0)),""))</f>
        <v/>
      </c>
      <c r="G185" s="17" t="str">
        <f aca="false">IF($B185="","",IFERROR(INDEX(Products!$D$2:$D$201,MATCH($B185,Products!$A$2:$A$201,0)),0))</f>
        <v/>
      </c>
      <c r="H185" s="17" t="str">
        <f aca="false">IF($B185="","",C185*G185*(1-D185))</f>
        <v/>
      </c>
      <c r="I185" s="17" t="str">
        <f aca="false">IF($B185="","",C185*IFERROR(INDEX(Products!$E$2:$E$201,MATCH($B185,Products!$A$2:$A$201,0)),0))</f>
        <v/>
      </c>
      <c r="J185" s="17" t="str">
        <f aca="false">IF($B185="","",H185-I185)</f>
        <v/>
      </c>
      <c r="K185" s="16" t="str">
        <f aca="false">IF($A185="","",DATE(YEAR($A185),MONTH($A185),1))</f>
        <v/>
      </c>
    </row>
    <row r="186" customFormat="false" ht="15" hidden="false" customHeight="false" outlineLevel="0" collapsed="false">
      <c r="A186" s="25"/>
      <c r="B186" s="19"/>
      <c r="C186" s="19"/>
      <c r="D186" s="26"/>
      <c r="E186" s="27" t="str">
        <f aca="false">IF($B186="","",IFERROR(INDEX(Products!$B$2:$B$201,MATCH($B186,Products!$A$2:$A$201,0)),"Unknown code"))</f>
        <v/>
      </c>
      <c r="F186" s="22" t="str">
        <f aca="false">IF($B186="","",IFERROR(INDEX(Products!$C$2:$C$201,MATCH($B186,Products!$A$2:$A$201,0)),""))</f>
        <v/>
      </c>
      <c r="G186" s="17" t="str">
        <f aca="false">IF($B186="","",IFERROR(INDEX(Products!$D$2:$D$201,MATCH($B186,Products!$A$2:$A$201,0)),0))</f>
        <v/>
      </c>
      <c r="H186" s="17" t="str">
        <f aca="false">IF($B186="","",C186*G186*(1-D186))</f>
        <v/>
      </c>
      <c r="I186" s="17" t="str">
        <f aca="false">IF($B186="","",C186*IFERROR(INDEX(Products!$E$2:$E$201,MATCH($B186,Products!$A$2:$A$201,0)),0))</f>
        <v/>
      </c>
      <c r="J186" s="17" t="str">
        <f aca="false">IF($B186="","",H186-I186)</f>
        <v/>
      </c>
      <c r="K186" s="16" t="str">
        <f aca="false">IF($A186="","",DATE(YEAR($A186),MONTH($A186),1))</f>
        <v/>
      </c>
    </row>
    <row r="187" customFormat="false" ht="15" hidden="false" customHeight="false" outlineLevel="0" collapsed="false">
      <c r="A187" s="25"/>
      <c r="B187" s="19"/>
      <c r="C187" s="19"/>
      <c r="D187" s="26"/>
      <c r="E187" s="27" t="str">
        <f aca="false">IF($B187="","",IFERROR(INDEX(Products!$B$2:$B$201,MATCH($B187,Products!$A$2:$A$201,0)),"Unknown code"))</f>
        <v/>
      </c>
      <c r="F187" s="22" t="str">
        <f aca="false">IF($B187="","",IFERROR(INDEX(Products!$C$2:$C$201,MATCH($B187,Products!$A$2:$A$201,0)),""))</f>
        <v/>
      </c>
      <c r="G187" s="17" t="str">
        <f aca="false">IF($B187="","",IFERROR(INDEX(Products!$D$2:$D$201,MATCH($B187,Products!$A$2:$A$201,0)),0))</f>
        <v/>
      </c>
      <c r="H187" s="17" t="str">
        <f aca="false">IF($B187="","",C187*G187*(1-D187))</f>
        <v/>
      </c>
      <c r="I187" s="17" t="str">
        <f aca="false">IF($B187="","",C187*IFERROR(INDEX(Products!$E$2:$E$201,MATCH($B187,Products!$A$2:$A$201,0)),0))</f>
        <v/>
      </c>
      <c r="J187" s="17" t="str">
        <f aca="false">IF($B187="","",H187-I187)</f>
        <v/>
      </c>
      <c r="K187" s="16" t="str">
        <f aca="false">IF($A187="","",DATE(YEAR($A187),MONTH($A187),1))</f>
        <v/>
      </c>
    </row>
    <row r="188" customFormat="false" ht="15" hidden="false" customHeight="false" outlineLevel="0" collapsed="false">
      <c r="A188" s="25"/>
      <c r="B188" s="19"/>
      <c r="C188" s="19"/>
      <c r="D188" s="26"/>
      <c r="E188" s="27" t="str">
        <f aca="false">IF($B188="","",IFERROR(INDEX(Products!$B$2:$B$201,MATCH($B188,Products!$A$2:$A$201,0)),"Unknown code"))</f>
        <v/>
      </c>
      <c r="F188" s="22" t="str">
        <f aca="false">IF($B188="","",IFERROR(INDEX(Products!$C$2:$C$201,MATCH($B188,Products!$A$2:$A$201,0)),""))</f>
        <v/>
      </c>
      <c r="G188" s="17" t="str">
        <f aca="false">IF($B188="","",IFERROR(INDEX(Products!$D$2:$D$201,MATCH($B188,Products!$A$2:$A$201,0)),0))</f>
        <v/>
      </c>
      <c r="H188" s="17" t="str">
        <f aca="false">IF($B188="","",C188*G188*(1-D188))</f>
        <v/>
      </c>
      <c r="I188" s="17" t="str">
        <f aca="false">IF($B188="","",C188*IFERROR(INDEX(Products!$E$2:$E$201,MATCH($B188,Products!$A$2:$A$201,0)),0))</f>
        <v/>
      </c>
      <c r="J188" s="17" t="str">
        <f aca="false">IF($B188="","",H188-I188)</f>
        <v/>
      </c>
      <c r="K188" s="16" t="str">
        <f aca="false">IF($A188="","",DATE(YEAR($A188),MONTH($A188),1))</f>
        <v/>
      </c>
    </row>
    <row r="189" customFormat="false" ht="15" hidden="false" customHeight="false" outlineLevel="0" collapsed="false">
      <c r="A189" s="25"/>
      <c r="B189" s="19"/>
      <c r="C189" s="19"/>
      <c r="D189" s="26"/>
      <c r="E189" s="27" t="str">
        <f aca="false">IF($B189="","",IFERROR(INDEX(Products!$B$2:$B$201,MATCH($B189,Products!$A$2:$A$201,0)),"Unknown code"))</f>
        <v/>
      </c>
      <c r="F189" s="22" t="str">
        <f aca="false">IF($B189="","",IFERROR(INDEX(Products!$C$2:$C$201,MATCH($B189,Products!$A$2:$A$201,0)),""))</f>
        <v/>
      </c>
      <c r="G189" s="17" t="str">
        <f aca="false">IF($B189="","",IFERROR(INDEX(Products!$D$2:$D$201,MATCH($B189,Products!$A$2:$A$201,0)),0))</f>
        <v/>
      </c>
      <c r="H189" s="17" t="str">
        <f aca="false">IF($B189="","",C189*G189*(1-D189))</f>
        <v/>
      </c>
      <c r="I189" s="17" t="str">
        <f aca="false">IF($B189="","",C189*IFERROR(INDEX(Products!$E$2:$E$201,MATCH($B189,Products!$A$2:$A$201,0)),0))</f>
        <v/>
      </c>
      <c r="J189" s="17" t="str">
        <f aca="false">IF($B189="","",H189-I189)</f>
        <v/>
      </c>
      <c r="K189" s="16" t="str">
        <f aca="false">IF($A189="","",DATE(YEAR($A189),MONTH($A189),1))</f>
        <v/>
      </c>
    </row>
    <row r="190" customFormat="false" ht="15" hidden="false" customHeight="false" outlineLevel="0" collapsed="false">
      <c r="A190" s="25"/>
      <c r="B190" s="19"/>
      <c r="C190" s="19"/>
      <c r="D190" s="26"/>
      <c r="E190" s="27" t="str">
        <f aca="false">IF($B190="","",IFERROR(INDEX(Products!$B$2:$B$201,MATCH($B190,Products!$A$2:$A$201,0)),"Unknown code"))</f>
        <v/>
      </c>
      <c r="F190" s="22" t="str">
        <f aca="false">IF($B190="","",IFERROR(INDEX(Products!$C$2:$C$201,MATCH($B190,Products!$A$2:$A$201,0)),""))</f>
        <v/>
      </c>
      <c r="G190" s="17" t="str">
        <f aca="false">IF($B190="","",IFERROR(INDEX(Products!$D$2:$D$201,MATCH($B190,Products!$A$2:$A$201,0)),0))</f>
        <v/>
      </c>
      <c r="H190" s="17" t="str">
        <f aca="false">IF($B190="","",C190*G190*(1-D190))</f>
        <v/>
      </c>
      <c r="I190" s="17" t="str">
        <f aca="false">IF($B190="","",C190*IFERROR(INDEX(Products!$E$2:$E$201,MATCH($B190,Products!$A$2:$A$201,0)),0))</f>
        <v/>
      </c>
      <c r="J190" s="17" t="str">
        <f aca="false">IF($B190="","",H190-I190)</f>
        <v/>
      </c>
      <c r="K190" s="16" t="str">
        <f aca="false">IF($A190="","",DATE(YEAR($A190),MONTH($A190),1))</f>
        <v/>
      </c>
    </row>
    <row r="191" customFormat="false" ht="15" hidden="false" customHeight="false" outlineLevel="0" collapsed="false">
      <c r="A191" s="25"/>
      <c r="B191" s="19"/>
      <c r="C191" s="19"/>
      <c r="D191" s="26"/>
      <c r="E191" s="27" t="str">
        <f aca="false">IF($B191="","",IFERROR(INDEX(Products!$B$2:$B$201,MATCH($B191,Products!$A$2:$A$201,0)),"Unknown code"))</f>
        <v/>
      </c>
      <c r="F191" s="22" t="str">
        <f aca="false">IF($B191="","",IFERROR(INDEX(Products!$C$2:$C$201,MATCH($B191,Products!$A$2:$A$201,0)),""))</f>
        <v/>
      </c>
      <c r="G191" s="17" t="str">
        <f aca="false">IF($B191="","",IFERROR(INDEX(Products!$D$2:$D$201,MATCH($B191,Products!$A$2:$A$201,0)),0))</f>
        <v/>
      </c>
      <c r="H191" s="17" t="str">
        <f aca="false">IF($B191="","",C191*G191*(1-D191))</f>
        <v/>
      </c>
      <c r="I191" s="17" t="str">
        <f aca="false">IF($B191="","",C191*IFERROR(INDEX(Products!$E$2:$E$201,MATCH($B191,Products!$A$2:$A$201,0)),0))</f>
        <v/>
      </c>
      <c r="J191" s="17" t="str">
        <f aca="false">IF($B191="","",H191-I191)</f>
        <v/>
      </c>
      <c r="K191" s="16" t="str">
        <f aca="false">IF($A191="","",DATE(YEAR($A191),MONTH($A191),1))</f>
        <v/>
      </c>
    </row>
    <row r="192" customFormat="false" ht="15" hidden="false" customHeight="false" outlineLevel="0" collapsed="false">
      <c r="A192" s="25"/>
      <c r="B192" s="19"/>
      <c r="C192" s="19"/>
      <c r="D192" s="26"/>
      <c r="E192" s="27" t="str">
        <f aca="false">IF($B192="","",IFERROR(INDEX(Products!$B$2:$B$201,MATCH($B192,Products!$A$2:$A$201,0)),"Unknown code"))</f>
        <v/>
      </c>
      <c r="F192" s="22" t="str">
        <f aca="false">IF($B192="","",IFERROR(INDEX(Products!$C$2:$C$201,MATCH($B192,Products!$A$2:$A$201,0)),""))</f>
        <v/>
      </c>
      <c r="G192" s="17" t="str">
        <f aca="false">IF($B192="","",IFERROR(INDEX(Products!$D$2:$D$201,MATCH($B192,Products!$A$2:$A$201,0)),0))</f>
        <v/>
      </c>
      <c r="H192" s="17" t="str">
        <f aca="false">IF($B192="","",C192*G192*(1-D192))</f>
        <v/>
      </c>
      <c r="I192" s="17" t="str">
        <f aca="false">IF($B192="","",C192*IFERROR(INDEX(Products!$E$2:$E$201,MATCH($B192,Products!$A$2:$A$201,0)),0))</f>
        <v/>
      </c>
      <c r="J192" s="17" t="str">
        <f aca="false">IF($B192="","",H192-I192)</f>
        <v/>
      </c>
      <c r="K192" s="16" t="str">
        <f aca="false">IF($A192="","",DATE(YEAR($A192),MONTH($A192),1))</f>
        <v/>
      </c>
    </row>
    <row r="193" customFormat="false" ht="15" hidden="false" customHeight="false" outlineLevel="0" collapsed="false">
      <c r="A193" s="25"/>
      <c r="B193" s="19"/>
      <c r="C193" s="19"/>
      <c r="D193" s="26"/>
      <c r="E193" s="27" t="str">
        <f aca="false">IF($B193="","",IFERROR(INDEX(Products!$B$2:$B$201,MATCH($B193,Products!$A$2:$A$201,0)),"Unknown code"))</f>
        <v/>
      </c>
      <c r="F193" s="22" t="str">
        <f aca="false">IF($B193="","",IFERROR(INDEX(Products!$C$2:$C$201,MATCH($B193,Products!$A$2:$A$201,0)),""))</f>
        <v/>
      </c>
      <c r="G193" s="17" t="str">
        <f aca="false">IF($B193="","",IFERROR(INDEX(Products!$D$2:$D$201,MATCH($B193,Products!$A$2:$A$201,0)),0))</f>
        <v/>
      </c>
      <c r="H193" s="17" t="str">
        <f aca="false">IF($B193="","",C193*G193*(1-D193))</f>
        <v/>
      </c>
      <c r="I193" s="17" t="str">
        <f aca="false">IF($B193="","",C193*IFERROR(INDEX(Products!$E$2:$E$201,MATCH($B193,Products!$A$2:$A$201,0)),0))</f>
        <v/>
      </c>
      <c r="J193" s="17" t="str">
        <f aca="false">IF($B193="","",H193-I193)</f>
        <v/>
      </c>
      <c r="K193" s="16" t="str">
        <f aca="false">IF($A193="","",DATE(YEAR($A193),MONTH($A193),1))</f>
        <v/>
      </c>
    </row>
    <row r="194" customFormat="false" ht="15" hidden="false" customHeight="false" outlineLevel="0" collapsed="false">
      <c r="A194" s="25"/>
      <c r="B194" s="19"/>
      <c r="C194" s="19"/>
      <c r="D194" s="26"/>
      <c r="E194" s="27" t="str">
        <f aca="false">IF($B194="","",IFERROR(INDEX(Products!$B$2:$B$201,MATCH($B194,Products!$A$2:$A$201,0)),"Unknown code"))</f>
        <v/>
      </c>
      <c r="F194" s="22" t="str">
        <f aca="false">IF($B194="","",IFERROR(INDEX(Products!$C$2:$C$201,MATCH($B194,Products!$A$2:$A$201,0)),""))</f>
        <v/>
      </c>
      <c r="G194" s="17" t="str">
        <f aca="false">IF($B194="","",IFERROR(INDEX(Products!$D$2:$D$201,MATCH($B194,Products!$A$2:$A$201,0)),0))</f>
        <v/>
      </c>
      <c r="H194" s="17" t="str">
        <f aca="false">IF($B194="","",C194*G194*(1-D194))</f>
        <v/>
      </c>
      <c r="I194" s="17" t="str">
        <f aca="false">IF($B194="","",C194*IFERROR(INDEX(Products!$E$2:$E$201,MATCH($B194,Products!$A$2:$A$201,0)),0))</f>
        <v/>
      </c>
      <c r="J194" s="17" t="str">
        <f aca="false">IF($B194="","",H194-I194)</f>
        <v/>
      </c>
      <c r="K194" s="16" t="str">
        <f aca="false">IF($A194="","",DATE(YEAR($A194),MONTH($A194),1))</f>
        <v/>
      </c>
    </row>
    <row r="195" customFormat="false" ht="15" hidden="false" customHeight="false" outlineLevel="0" collapsed="false">
      <c r="A195" s="25"/>
      <c r="B195" s="19"/>
      <c r="C195" s="19"/>
      <c r="D195" s="26"/>
      <c r="E195" s="27" t="str">
        <f aca="false">IF($B195="","",IFERROR(INDEX(Products!$B$2:$B$201,MATCH($B195,Products!$A$2:$A$201,0)),"Unknown code"))</f>
        <v/>
      </c>
      <c r="F195" s="22" t="str">
        <f aca="false">IF($B195="","",IFERROR(INDEX(Products!$C$2:$C$201,MATCH($B195,Products!$A$2:$A$201,0)),""))</f>
        <v/>
      </c>
      <c r="G195" s="17" t="str">
        <f aca="false">IF($B195="","",IFERROR(INDEX(Products!$D$2:$D$201,MATCH($B195,Products!$A$2:$A$201,0)),0))</f>
        <v/>
      </c>
      <c r="H195" s="17" t="str">
        <f aca="false">IF($B195="","",C195*G195*(1-D195))</f>
        <v/>
      </c>
      <c r="I195" s="17" t="str">
        <f aca="false">IF($B195="","",C195*IFERROR(INDEX(Products!$E$2:$E$201,MATCH($B195,Products!$A$2:$A$201,0)),0))</f>
        <v/>
      </c>
      <c r="J195" s="17" t="str">
        <f aca="false">IF($B195="","",H195-I195)</f>
        <v/>
      </c>
      <c r="K195" s="16" t="str">
        <f aca="false">IF($A195="","",DATE(YEAR($A195),MONTH($A195),1))</f>
        <v/>
      </c>
    </row>
    <row r="196" customFormat="false" ht="15" hidden="false" customHeight="false" outlineLevel="0" collapsed="false">
      <c r="A196" s="25"/>
      <c r="B196" s="19"/>
      <c r="C196" s="19"/>
      <c r="D196" s="26"/>
      <c r="E196" s="27" t="str">
        <f aca="false">IF($B196="","",IFERROR(INDEX(Products!$B$2:$B$201,MATCH($B196,Products!$A$2:$A$201,0)),"Unknown code"))</f>
        <v/>
      </c>
      <c r="F196" s="22" t="str">
        <f aca="false">IF($B196="","",IFERROR(INDEX(Products!$C$2:$C$201,MATCH($B196,Products!$A$2:$A$201,0)),""))</f>
        <v/>
      </c>
      <c r="G196" s="17" t="str">
        <f aca="false">IF($B196="","",IFERROR(INDEX(Products!$D$2:$D$201,MATCH($B196,Products!$A$2:$A$201,0)),0))</f>
        <v/>
      </c>
      <c r="H196" s="17" t="str">
        <f aca="false">IF($B196="","",C196*G196*(1-D196))</f>
        <v/>
      </c>
      <c r="I196" s="17" t="str">
        <f aca="false">IF($B196="","",C196*IFERROR(INDEX(Products!$E$2:$E$201,MATCH($B196,Products!$A$2:$A$201,0)),0))</f>
        <v/>
      </c>
      <c r="J196" s="17" t="str">
        <f aca="false">IF($B196="","",H196-I196)</f>
        <v/>
      </c>
      <c r="K196" s="16" t="str">
        <f aca="false">IF($A196="","",DATE(YEAR($A196),MONTH($A196),1))</f>
        <v/>
      </c>
    </row>
    <row r="197" customFormat="false" ht="15" hidden="false" customHeight="false" outlineLevel="0" collapsed="false">
      <c r="A197" s="25"/>
      <c r="B197" s="19"/>
      <c r="C197" s="19"/>
      <c r="D197" s="26"/>
      <c r="E197" s="27" t="str">
        <f aca="false">IF($B197="","",IFERROR(INDEX(Products!$B$2:$B$201,MATCH($B197,Products!$A$2:$A$201,0)),"Unknown code"))</f>
        <v/>
      </c>
      <c r="F197" s="22" t="str">
        <f aca="false">IF($B197="","",IFERROR(INDEX(Products!$C$2:$C$201,MATCH($B197,Products!$A$2:$A$201,0)),""))</f>
        <v/>
      </c>
      <c r="G197" s="17" t="str">
        <f aca="false">IF($B197="","",IFERROR(INDEX(Products!$D$2:$D$201,MATCH($B197,Products!$A$2:$A$201,0)),0))</f>
        <v/>
      </c>
      <c r="H197" s="17" t="str">
        <f aca="false">IF($B197="","",C197*G197*(1-D197))</f>
        <v/>
      </c>
      <c r="I197" s="17" t="str">
        <f aca="false">IF($B197="","",C197*IFERROR(INDEX(Products!$E$2:$E$201,MATCH($B197,Products!$A$2:$A$201,0)),0))</f>
        <v/>
      </c>
      <c r="J197" s="17" t="str">
        <f aca="false">IF($B197="","",H197-I197)</f>
        <v/>
      </c>
      <c r="K197" s="16" t="str">
        <f aca="false">IF($A197="","",DATE(YEAR($A197),MONTH($A197),1))</f>
        <v/>
      </c>
    </row>
    <row r="198" customFormat="false" ht="15" hidden="false" customHeight="false" outlineLevel="0" collapsed="false">
      <c r="A198" s="25"/>
      <c r="B198" s="19"/>
      <c r="C198" s="19"/>
      <c r="D198" s="26"/>
      <c r="E198" s="27" t="str">
        <f aca="false">IF($B198="","",IFERROR(INDEX(Products!$B$2:$B$201,MATCH($B198,Products!$A$2:$A$201,0)),"Unknown code"))</f>
        <v/>
      </c>
      <c r="F198" s="22" t="str">
        <f aca="false">IF($B198="","",IFERROR(INDEX(Products!$C$2:$C$201,MATCH($B198,Products!$A$2:$A$201,0)),""))</f>
        <v/>
      </c>
      <c r="G198" s="17" t="str">
        <f aca="false">IF($B198="","",IFERROR(INDEX(Products!$D$2:$D$201,MATCH($B198,Products!$A$2:$A$201,0)),0))</f>
        <v/>
      </c>
      <c r="H198" s="17" t="str">
        <f aca="false">IF($B198="","",C198*G198*(1-D198))</f>
        <v/>
      </c>
      <c r="I198" s="17" t="str">
        <f aca="false">IF($B198="","",C198*IFERROR(INDEX(Products!$E$2:$E$201,MATCH($B198,Products!$A$2:$A$201,0)),0))</f>
        <v/>
      </c>
      <c r="J198" s="17" t="str">
        <f aca="false">IF($B198="","",H198-I198)</f>
        <v/>
      </c>
      <c r="K198" s="16" t="str">
        <f aca="false">IF($A198="","",DATE(YEAR($A198),MONTH($A198),1))</f>
        <v/>
      </c>
    </row>
    <row r="199" customFormat="false" ht="15" hidden="false" customHeight="false" outlineLevel="0" collapsed="false">
      <c r="A199" s="25"/>
      <c r="B199" s="19"/>
      <c r="C199" s="19"/>
      <c r="D199" s="26"/>
      <c r="E199" s="27" t="str">
        <f aca="false">IF($B199="","",IFERROR(INDEX(Products!$B$2:$B$201,MATCH($B199,Products!$A$2:$A$201,0)),"Unknown code"))</f>
        <v/>
      </c>
      <c r="F199" s="22" t="str">
        <f aca="false">IF($B199="","",IFERROR(INDEX(Products!$C$2:$C$201,MATCH($B199,Products!$A$2:$A$201,0)),""))</f>
        <v/>
      </c>
      <c r="G199" s="17" t="str">
        <f aca="false">IF($B199="","",IFERROR(INDEX(Products!$D$2:$D$201,MATCH($B199,Products!$A$2:$A$201,0)),0))</f>
        <v/>
      </c>
      <c r="H199" s="17" t="str">
        <f aca="false">IF($B199="","",C199*G199*(1-D199))</f>
        <v/>
      </c>
      <c r="I199" s="17" t="str">
        <f aca="false">IF($B199="","",C199*IFERROR(INDEX(Products!$E$2:$E$201,MATCH($B199,Products!$A$2:$A$201,0)),0))</f>
        <v/>
      </c>
      <c r="J199" s="17" t="str">
        <f aca="false">IF($B199="","",H199-I199)</f>
        <v/>
      </c>
      <c r="K199" s="16" t="str">
        <f aca="false">IF($A199="","",DATE(YEAR($A199),MONTH($A199),1))</f>
        <v/>
      </c>
    </row>
    <row r="200" customFormat="false" ht="15" hidden="false" customHeight="false" outlineLevel="0" collapsed="false">
      <c r="A200" s="25"/>
      <c r="B200" s="19"/>
      <c r="C200" s="19"/>
      <c r="D200" s="26"/>
      <c r="E200" s="27" t="str">
        <f aca="false">IF($B200="","",IFERROR(INDEX(Products!$B$2:$B$201,MATCH($B200,Products!$A$2:$A$201,0)),"Unknown code"))</f>
        <v/>
      </c>
      <c r="F200" s="22" t="str">
        <f aca="false">IF($B200="","",IFERROR(INDEX(Products!$C$2:$C$201,MATCH($B200,Products!$A$2:$A$201,0)),""))</f>
        <v/>
      </c>
      <c r="G200" s="17" t="str">
        <f aca="false">IF($B200="","",IFERROR(INDEX(Products!$D$2:$D$201,MATCH($B200,Products!$A$2:$A$201,0)),0))</f>
        <v/>
      </c>
      <c r="H200" s="17" t="str">
        <f aca="false">IF($B200="","",C200*G200*(1-D200))</f>
        <v/>
      </c>
      <c r="I200" s="17" t="str">
        <f aca="false">IF($B200="","",C200*IFERROR(INDEX(Products!$E$2:$E$201,MATCH($B200,Products!$A$2:$A$201,0)),0))</f>
        <v/>
      </c>
      <c r="J200" s="17" t="str">
        <f aca="false">IF($B200="","",H200-I200)</f>
        <v/>
      </c>
      <c r="K200" s="16" t="str">
        <f aca="false">IF($A200="","",DATE(YEAR($A200),MONTH($A200),1))</f>
        <v/>
      </c>
    </row>
    <row r="201" customFormat="false" ht="15" hidden="false" customHeight="false" outlineLevel="0" collapsed="false">
      <c r="A201" s="25"/>
      <c r="B201" s="19"/>
      <c r="C201" s="19"/>
      <c r="D201" s="26"/>
      <c r="E201" s="27" t="str">
        <f aca="false">IF($B201="","",IFERROR(INDEX(Products!$B$2:$B$201,MATCH($B201,Products!$A$2:$A$201,0)),"Unknown code"))</f>
        <v/>
      </c>
      <c r="F201" s="22" t="str">
        <f aca="false">IF($B201="","",IFERROR(INDEX(Products!$C$2:$C$201,MATCH($B201,Products!$A$2:$A$201,0)),""))</f>
        <v/>
      </c>
      <c r="G201" s="17" t="str">
        <f aca="false">IF($B201="","",IFERROR(INDEX(Products!$D$2:$D$201,MATCH($B201,Products!$A$2:$A$201,0)),0))</f>
        <v/>
      </c>
      <c r="H201" s="17" t="str">
        <f aca="false">IF($B201="","",C201*G201*(1-D201))</f>
        <v/>
      </c>
      <c r="I201" s="17" t="str">
        <f aca="false">IF($B201="","",C201*IFERROR(INDEX(Products!$E$2:$E$201,MATCH($B201,Products!$A$2:$A$201,0)),0))</f>
        <v/>
      </c>
      <c r="J201" s="17" t="str">
        <f aca="false">IF($B201="","",H201-I201)</f>
        <v/>
      </c>
      <c r="K201" s="16" t="str">
        <f aca="false">IF($A201="","",DATE(YEAR($A201),MONTH($A201),1))</f>
        <v/>
      </c>
    </row>
    <row r="202" customFormat="false" ht="15" hidden="false" customHeight="false" outlineLevel="0" collapsed="false">
      <c r="A202" s="25"/>
      <c r="B202" s="19"/>
      <c r="C202" s="19"/>
      <c r="D202" s="26"/>
      <c r="E202" s="27" t="str">
        <f aca="false">IF($B202="","",IFERROR(INDEX(Products!$B$2:$B$201,MATCH($B202,Products!$A$2:$A$201,0)),"Unknown code"))</f>
        <v/>
      </c>
      <c r="F202" s="22" t="str">
        <f aca="false">IF($B202="","",IFERROR(INDEX(Products!$C$2:$C$201,MATCH($B202,Products!$A$2:$A$201,0)),""))</f>
        <v/>
      </c>
      <c r="G202" s="17" t="str">
        <f aca="false">IF($B202="","",IFERROR(INDEX(Products!$D$2:$D$201,MATCH($B202,Products!$A$2:$A$201,0)),0))</f>
        <v/>
      </c>
      <c r="H202" s="17" t="str">
        <f aca="false">IF($B202="","",C202*G202*(1-D202))</f>
        <v/>
      </c>
      <c r="I202" s="17" t="str">
        <f aca="false">IF($B202="","",C202*IFERROR(INDEX(Products!$E$2:$E$201,MATCH($B202,Products!$A$2:$A$201,0)),0))</f>
        <v/>
      </c>
      <c r="J202" s="17" t="str">
        <f aca="false">IF($B202="","",H202-I202)</f>
        <v/>
      </c>
      <c r="K202" s="16" t="str">
        <f aca="false">IF($A202="","",DATE(YEAR($A202),MONTH($A202),1))</f>
        <v/>
      </c>
    </row>
    <row r="203" customFormat="false" ht="15" hidden="false" customHeight="false" outlineLevel="0" collapsed="false">
      <c r="A203" s="25"/>
      <c r="B203" s="19"/>
      <c r="C203" s="19"/>
      <c r="D203" s="26"/>
      <c r="E203" s="27" t="str">
        <f aca="false">IF($B203="","",IFERROR(INDEX(Products!$B$2:$B$201,MATCH($B203,Products!$A$2:$A$201,0)),"Unknown code"))</f>
        <v/>
      </c>
      <c r="F203" s="22" t="str">
        <f aca="false">IF($B203="","",IFERROR(INDEX(Products!$C$2:$C$201,MATCH($B203,Products!$A$2:$A$201,0)),""))</f>
        <v/>
      </c>
      <c r="G203" s="17" t="str">
        <f aca="false">IF($B203="","",IFERROR(INDEX(Products!$D$2:$D$201,MATCH($B203,Products!$A$2:$A$201,0)),0))</f>
        <v/>
      </c>
      <c r="H203" s="17" t="str">
        <f aca="false">IF($B203="","",C203*G203*(1-D203))</f>
        <v/>
      </c>
      <c r="I203" s="17" t="str">
        <f aca="false">IF($B203="","",C203*IFERROR(INDEX(Products!$E$2:$E$201,MATCH($B203,Products!$A$2:$A$201,0)),0))</f>
        <v/>
      </c>
      <c r="J203" s="17" t="str">
        <f aca="false">IF($B203="","",H203-I203)</f>
        <v/>
      </c>
      <c r="K203" s="16" t="str">
        <f aca="false">IF($A203="","",DATE(YEAR($A203),MONTH($A203),1))</f>
        <v/>
      </c>
    </row>
    <row r="204" customFormat="false" ht="15" hidden="false" customHeight="false" outlineLevel="0" collapsed="false">
      <c r="A204" s="25"/>
      <c r="B204" s="19"/>
      <c r="C204" s="19"/>
      <c r="D204" s="26"/>
      <c r="E204" s="27" t="str">
        <f aca="false">IF($B204="","",IFERROR(INDEX(Products!$B$2:$B$201,MATCH($B204,Products!$A$2:$A$201,0)),"Unknown code"))</f>
        <v/>
      </c>
      <c r="F204" s="22" t="str">
        <f aca="false">IF($B204="","",IFERROR(INDEX(Products!$C$2:$C$201,MATCH($B204,Products!$A$2:$A$201,0)),""))</f>
        <v/>
      </c>
      <c r="G204" s="17" t="str">
        <f aca="false">IF($B204="","",IFERROR(INDEX(Products!$D$2:$D$201,MATCH($B204,Products!$A$2:$A$201,0)),0))</f>
        <v/>
      </c>
      <c r="H204" s="17" t="str">
        <f aca="false">IF($B204="","",C204*G204*(1-D204))</f>
        <v/>
      </c>
      <c r="I204" s="17" t="str">
        <f aca="false">IF($B204="","",C204*IFERROR(INDEX(Products!$E$2:$E$201,MATCH($B204,Products!$A$2:$A$201,0)),0))</f>
        <v/>
      </c>
      <c r="J204" s="17" t="str">
        <f aca="false">IF($B204="","",H204-I204)</f>
        <v/>
      </c>
      <c r="K204" s="16" t="str">
        <f aca="false">IF($A204="","",DATE(YEAR($A204),MONTH($A204),1))</f>
        <v/>
      </c>
    </row>
    <row r="205" customFormat="false" ht="15" hidden="false" customHeight="false" outlineLevel="0" collapsed="false">
      <c r="A205" s="25"/>
      <c r="B205" s="19"/>
      <c r="C205" s="19"/>
      <c r="D205" s="26"/>
      <c r="E205" s="27" t="str">
        <f aca="false">IF($B205="","",IFERROR(INDEX(Products!$B$2:$B$201,MATCH($B205,Products!$A$2:$A$201,0)),"Unknown code"))</f>
        <v/>
      </c>
      <c r="F205" s="22" t="str">
        <f aca="false">IF($B205="","",IFERROR(INDEX(Products!$C$2:$C$201,MATCH($B205,Products!$A$2:$A$201,0)),""))</f>
        <v/>
      </c>
      <c r="G205" s="17" t="str">
        <f aca="false">IF($B205="","",IFERROR(INDEX(Products!$D$2:$D$201,MATCH($B205,Products!$A$2:$A$201,0)),0))</f>
        <v/>
      </c>
      <c r="H205" s="17" t="str">
        <f aca="false">IF($B205="","",C205*G205*(1-D205))</f>
        <v/>
      </c>
      <c r="I205" s="17" t="str">
        <f aca="false">IF($B205="","",C205*IFERROR(INDEX(Products!$E$2:$E$201,MATCH($B205,Products!$A$2:$A$201,0)),0))</f>
        <v/>
      </c>
      <c r="J205" s="17" t="str">
        <f aca="false">IF($B205="","",H205-I205)</f>
        <v/>
      </c>
      <c r="K205" s="16" t="str">
        <f aca="false">IF($A205="","",DATE(YEAR($A205),MONTH($A205),1))</f>
        <v/>
      </c>
    </row>
    <row r="206" customFormat="false" ht="15" hidden="false" customHeight="false" outlineLevel="0" collapsed="false">
      <c r="A206" s="25"/>
      <c r="B206" s="19"/>
      <c r="C206" s="19"/>
      <c r="D206" s="26"/>
      <c r="E206" s="27" t="str">
        <f aca="false">IF($B206="","",IFERROR(INDEX(Products!$B$2:$B$201,MATCH($B206,Products!$A$2:$A$201,0)),"Unknown code"))</f>
        <v/>
      </c>
      <c r="F206" s="22" t="str">
        <f aca="false">IF($B206="","",IFERROR(INDEX(Products!$C$2:$C$201,MATCH($B206,Products!$A$2:$A$201,0)),""))</f>
        <v/>
      </c>
      <c r="G206" s="17" t="str">
        <f aca="false">IF($B206="","",IFERROR(INDEX(Products!$D$2:$D$201,MATCH($B206,Products!$A$2:$A$201,0)),0))</f>
        <v/>
      </c>
      <c r="H206" s="17" t="str">
        <f aca="false">IF($B206="","",C206*G206*(1-D206))</f>
        <v/>
      </c>
      <c r="I206" s="17" t="str">
        <f aca="false">IF($B206="","",C206*IFERROR(INDEX(Products!$E$2:$E$201,MATCH($B206,Products!$A$2:$A$201,0)),0))</f>
        <v/>
      </c>
      <c r="J206" s="17" t="str">
        <f aca="false">IF($B206="","",H206-I206)</f>
        <v/>
      </c>
      <c r="K206" s="16" t="str">
        <f aca="false">IF($A206="","",DATE(YEAR($A206),MONTH($A206),1))</f>
        <v/>
      </c>
    </row>
    <row r="207" customFormat="false" ht="15" hidden="false" customHeight="false" outlineLevel="0" collapsed="false">
      <c r="A207" s="25"/>
      <c r="B207" s="19"/>
      <c r="C207" s="19"/>
      <c r="D207" s="26"/>
      <c r="E207" s="27" t="str">
        <f aca="false">IF($B207="","",IFERROR(INDEX(Products!$B$2:$B$201,MATCH($B207,Products!$A$2:$A$201,0)),"Unknown code"))</f>
        <v/>
      </c>
      <c r="F207" s="22" t="str">
        <f aca="false">IF($B207="","",IFERROR(INDEX(Products!$C$2:$C$201,MATCH($B207,Products!$A$2:$A$201,0)),""))</f>
        <v/>
      </c>
      <c r="G207" s="17" t="str">
        <f aca="false">IF($B207="","",IFERROR(INDEX(Products!$D$2:$D$201,MATCH($B207,Products!$A$2:$A$201,0)),0))</f>
        <v/>
      </c>
      <c r="H207" s="17" t="str">
        <f aca="false">IF($B207="","",C207*G207*(1-D207))</f>
        <v/>
      </c>
      <c r="I207" s="17" t="str">
        <f aca="false">IF($B207="","",C207*IFERROR(INDEX(Products!$E$2:$E$201,MATCH($B207,Products!$A$2:$A$201,0)),0))</f>
        <v/>
      </c>
      <c r="J207" s="17" t="str">
        <f aca="false">IF($B207="","",H207-I207)</f>
        <v/>
      </c>
      <c r="K207" s="16" t="str">
        <f aca="false">IF($A207="","",DATE(YEAR($A207),MONTH($A207),1))</f>
        <v/>
      </c>
    </row>
    <row r="208" customFormat="false" ht="15" hidden="false" customHeight="false" outlineLevel="0" collapsed="false">
      <c r="A208" s="25"/>
      <c r="B208" s="19"/>
      <c r="C208" s="19"/>
      <c r="D208" s="26"/>
      <c r="E208" s="27" t="str">
        <f aca="false">IF($B208="","",IFERROR(INDEX(Products!$B$2:$B$201,MATCH($B208,Products!$A$2:$A$201,0)),"Unknown code"))</f>
        <v/>
      </c>
      <c r="F208" s="22" t="str">
        <f aca="false">IF($B208="","",IFERROR(INDEX(Products!$C$2:$C$201,MATCH($B208,Products!$A$2:$A$201,0)),""))</f>
        <v/>
      </c>
      <c r="G208" s="17" t="str">
        <f aca="false">IF($B208="","",IFERROR(INDEX(Products!$D$2:$D$201,MATCH($B208,Products!$A$2:$A$201,0)),0))</f>
        <v/>
      </c>
      <c r="H208" s="17" t="str">
        <f aca="false">IF($B208="","",C208*G208*(1-D208))</f>
        <v/>
      </c>
      <c r="I208" s="17" t="str">
        <f aca="false">IF($B208="","",C208*IFERROR(INDEX(Products!$E$2:$E$201,MATCH($B208,Products!$A$2:$A$201,0)),0))</f>
        <v/>
      </c>
      <c r="J208" s="17" t="str">
        <f aca="false">IF($B208="","",H208-I208)</f>
        <v/>
      </c>
      <c r="K208" s="16" t="str">
        <f aca="false">IF($A208="","",DATE(YEAR($A208),MONTH($A208),1))</f>
        <v/>
      </c>
    </row>
    <row r="209" customFormat="false" ht="15" hidden="false" customHeight="false" outlineLevel="0" collapsed="false">
      <c r="A209" s="25"/>
      <c r="B209" s="19"/>
      <c r="C209" s="19"/>
      <c r="D209" s="26"/>
      <c r="E209" s="27" t="str">
        <f aca="false">IF($B209="","",IFERROR(INDEX(Products!$B$2:$B$201,MATCH($B209,Products!$A$2:$A$201,0)),"Unknown code"))</f>
        <v/>
      </c>
      <c r="F209" s="22" t="str">
        <f aca="false">IF($B209="","",IFERROR(INDEX(Products!$C$2:$C$201,MATCH($B209,Products!$A$2:$A$201,0)),""))</f>
        <v/>
      </c>
      <c r="G209" s="17" t="str">
        <f aca="false">IF($B209="","",IFERROR(INDEX(Products!$D$2:$D$201,MATCH($B209,Products!$A$2:$A$201,0)),0))</f>
        <v/>
      </c>
      <c r="H209" s="17" t="str">
        <f aca="false">IF($B209="","",C209*G209*(1-D209))</f>
        <v/>
      </c>
      <c r="I209" s="17" t="str">
        <f aca="false">IF($B209="","",C209*IFERROR(INDEX(Products!$E$2:$E$201,MATCH($B209,Products!$A$2:$A$201,0)),0))</f>
        <v/>
      </c>
      <c r="J209" s="17" t="str">
        <f aca="false">IF($B209="","",H209-I209)</f>
        <v/>
      </c>
      <c r="K209" s="16" t="str">
        <f aca="false">IF($A209="","",DATE(YEAR($A209),MONTH($A209),1))</f>
        <v/>
      </c>
    </row>
    <row r="210" customFormat="false" ht="15" hidden="false" customHeight="false" outlineLevel="0" collapsed="false">
      <c r="A210" s="25"/>
      <c r="B210" s="19"/>
      <c r="C210" s="19"/>
      <c r="D210" s="26"/>
      <c r="E210" s="27" t="str">
        <f aca="false">IF($B210="","",IFERROR(INDEX(Products!$B$2:$B$201,MATCH($B210,Products!$A$2:$A$201,0)),"Unknown code"))</f>
        <v/>
      </c>
      <c r="F210" s="22" t="str">
        <f aca="false">IF($B210="","",IFERROR(INDEX(Products!$C$2:$C$201,MATCH($B210,Products!$A$2:$A$201,0)),""))</f>
        <v/>
      </c>
      <c r="G210" s="17" t="str">
        <f aca="false">IF($B210="","",IFERROR(INDEX(Products!$D$2:$D$201,MATCH($B210,Products!$A$2:$A$201,0)),0))</f>
        <v/>
      </c>
      <c r="H210" s="17" t="str">
        <f aca="false">IF($B210="","",C210*G210*(1-D210))</f>
        <v/>
      </c>
      <c r="I210" s="17" t="str">
        <f aca="false">IF($B210="","",C210*IFERROR(INDEX(Products!$E$2:$E$201,MATCH($B210,Products!$A$2:$A$201,0)),0))</f>
        <v/>
      </c>
      <c r="J210" s="17" t="str">
        <f aca="false">IF($B210="","",H210-I210)</f>
        <v/>
      </c>
      <c r="K210" s="16" t="str">
        <f aca="false">IF($A210="","",DATE(YEAR($A210),MONTH($A210),1))</f>
        <v/>
      </c>
    </row>
    <row r="211" customFormat="false" ht="15" hidden="false" customHeight="false" outlineLevel="0" collapsed="false">
      <c r="A211" s="25"/>
      <c r="B211" s="19"/>
      <c r="C211" s="19"/>
      <c r="D211" s="26"/>
      <c r="E211" s="27" t="str">
        <f aca="false">IF($B211="","",IFERROR(INDEX(Products!$B$2:$B$201,MATCH($B211,Products!$A$2:$A$201,0)),"Unknown code"))</f>
        <v/>
      </c>
      <c r="F211" s="22" t="str">
        <f aca="false">IF($B211="","",IFERROR(INDEX(Products!$C$2:$C$201,MATCH($B211,Products!$A$2:$A$201,0)),""))</f>
        <v/>
      </c>
      <c r="G211" s="17" t="str">
        <f aca="false">IF($B211="","",IFERROR(INDEX(Products!$D$2:$D$201,MATCH($B211,Products!$A$2:$A$201,0)),0))</f>
        <v/>
      </c>
      <c r="H211" s="17" t="str">
        <f aca="false">IF($B211="","",C211*G211*(1-D211))</f>
        <v/>
      </c>
      <c r="I211" s="17" t="str">
        <f aca="false">IF($B211="","",C211*IFERROR(INDEX(Products!$E$2:$E$201,MATCH($B211,Products!$A$2:$A$201,0)),0))</f>
        <v/>
      </c>
      <c r="J211" s="17" t="str">
        <f aca="false">IF($B211="","",H211-I211)</f>
        <v/>
      </c>
      <c r="K211" s="16" t="str">
        <f aca="false">IF($A211="","",DATE(YEAR($A211),MONTH($A211),1))</f>
        <v/>
      </c>
    </row>
    <row r="212" customFormat="false" ht="15" hidden="false" customHeight="false" outlineLevel="0" collapsed="false">
      <c r="A212" s="25"/>
      <c r="B212" s="19"/>
      <c r="C212" s="19"/>
      <c r="D212" s="26"/>
      <c r="E212" s="27" t="str">
        <f aca="false">IF($B212="","",IFERROR(INDEX(Products!$B$2:$B$201,MATCH($B212,Products!$A$2:$A$201,0)),"Unknown code"))</f>
        <v/>
      </c>
      <c r="F212" s="22" t="str">
        <f aca="false">IF($B212="","",IFERROR(INDEX(Products!$C$2:$C$201,MATCH($B212,Products!$A$2:$A$201,0)),""))</f>
        <v/>
      </c>
      <c r="G212" s="17" t="str">
        <f aca="false">IF($B212="","",IFERROR(INDEX(Products!$D$2:$D$201,MATCH($B212,Products!$A$2:$A$201,0)),0))</f>
        <v/>
      </c>
      <c r="H212" s="17" t="str">
        <f aca="false">IF($B212="","",C212*G212*(1-D212))</f>
        <v/>
      </c>
      <c r="I212" s="17" t="str">
        <f aca="false">IF($B212="","",C212*IFERROR(INDEX(Products!$E$2:$E$201,MATCH($B212,Products!$A$2:$A$201,0)),0))</f>
        <v/>
      </c>
      <c r="J212" s="17" t="str">
        <f aca="false">IF($B212="","",H212-I212)</f>
        <v/>
      </c>
      <c r="K212" s="16" t="str">
        <f aca="false">IF($A212="","",DATE(YEAR($A212),MONTH($A212),1))</f>
        <v/>
      </c>
    </row>
    <row r="213" customFormat="false" ht="15" hidden="false" customHeight="false" outlineLevel="0" collapsed="false">
      <c r="A213" s="25"/>
      <c r="B213" s="19"/>
      <c r="C213" s="19"/>
      <c r="D213" s="26"/>
      <c r="E213" s="27" t="str">
        <f aca="false">IF($B213="","",IFERROR(INDEX(Products!$B$2:$B$201,MATCH($B213,Products!$A$2:$A$201,0)),"Unknown code"))</f>
        <v/>
      </c>
      <c r="F213" s="22" t="str">
        <f aca="false">IF($B213="","",IFERROR(INDEX(Products!$C$2:$C$201,MATCH($B213,Products!$A$2:$A$201,0)),""))</f>
        <v/>
      </c>
      <c r="G213" s="17" t="str">
        <f aca="false">IF($B213="","",IFERROR(INDEX(Products!$D$2:$D$201,MATCH($B213,Products!$A$2:$A$201,0)),0))</f>
        <v/>
      </c>
      <c r="H213" s="17" t="str">
        <f aca="false">IF($B213="","",C213*G213*(1-D213))</f>
        <v/>
      </c>
      <c r="I213" s="17" t="str">
        <f aca="false">IF($B213="","",C213*IFERROR(INDEX(Products!$E$2:$E$201,MATCH($B213,Products!$A$2:$A$201,0)),0))</f>
        <v/>
      </c>
      <c r="J213" s="17" t="str">
        <f aca="false">IF($B213="","",H213-I213)</f>
        <v/>
      </c>
      <c r="K213" s="16" t="str">
        <f aca="false">IF($A213="","",DATE(YEAR($A213),MONTH($A213),1))</f>
        <v/>
      </c>
    </row>
    <row r="214" customFormat="false" ht="15" hidden="false" customHeight="false" outlineLevel="0" collapsed="false">
      <c r="A214" s="25"/>
      <c r="B214" s="19"/>
      <c r="C214" s="19"/>
      <c r="D214" s="26"/>
      <c r="E214" s="27" t="str">
        <f aca="false">IF($B214="","",IFERROR(INDEX(Products!$B$2:$B$201,MATCH($B214,Products!$A$2:$A$201,0)),"Unknown code"))</f>
        <v/>
      </c>
      <c r="F214" s="22" t="str">
        <f aca="false">IF($B214="","",IFERROR(INDEX(Products!$C$2:$C$201,MATCH($B214,Products!$A$2:$A$201,0)),""))</f>
        <v/>
      </c>
      <c r="G214" s="17" t="str">
        <f aca="false">IF($B214="","",IFERROR(INDEX(Products!$D$2:$D$201,MATCH($B214,Products!$A$2:$A$201,0)),0))</f>
        <v/>
      </c>
      <c r="H214" s="17" t="str">
        <f aca="false">IF($B214="","",C214*G214*(1-D214))</f>
        <v/>
      </c>
      <c r="I214" s="17" t="str">
        <f aca="false">IF($B214="","",C214*IFERROR(INDEX(Products!$E$2:$E$201,MATCH($B214,Products!$A$2:$A$201,0)),0))</f>
        <v/>
      </c>
      <c r="J214" s="17" t="str">
        <f aca="false">IF($B214="","",H214-I214)</f>
        <v/>
      </c>
      <c r="K214" s="16" t="str">
        <f aca="false">IF($A214="","",DATE(YEAR($A214),MONTH($A214),1))</f>
        <v/>
      </c>
    </row>
    <row r="215" customFormat="false" ht="15" hidden="false" customHeight="false" outlineLevel="0" collapsed="false">
      <c r="A215" s="25"/>
      <c r="B215" s="19"/>
      <c r="C215" s="19"/>
      <c r="D215" s="26"/>
      <c r="E215" s="27" t="str">
        <f aca="false">IF($B215="","",IFERROR(INDEX(Products!$B$2:$B$201,MATCH($B215,Products!$A$2:$A$201,0)),"Unknown code"))</f>
        <v/>
      </c>
      <c r="F215" s="22" t="str">
        <f aca="false">IF($B215="","",IFERROR(INDEX(Products!$C$2:$C$201,MATCH($B215,Products!$A$2:$A$201,0)),""))</f>
        <v/>
      </c>
      <c r="G215" s="17" t="str">
        <f aca="false">IF($B215="","",IFERROR(INDEX(Products!$D$2:$D$201,MATCH($B215,Products!$A$2:$A$201,0)),0))</f>
        <v/>
      </c>
      <c r="H215" s="17" t="str">
        <f aca="false">IF($B215="","",C215*G215*(1-D215))</f>
        <v/>
      </c>
      <c r="I215" s="17" t="str">
        <f aca="false">IF($B215="","",C215*IFERROR(INDEX(Products!$E$2:$E$201,MATCH($B215,Products!$A$2:$A$201,0)),0))</f>
        <v/>
      </c>
      <c r="J215" s="17" t="str">
        <f aca="false">IF($B215="","",H215-I215)</f>
        <v/>
      </c>
      <c r="K215" s="16" t="str">
        <f aca="false">IF($A215="","",DATE(YEAR($A215),MONTH($A215),1))</f>
        <v/>
      </c>
    </row>
    <row r="216" customFormat="false" ht="15" hidden="false" customHeight="false" outlineLevel="0" collapsed="false">
      <c r="A216" s="25"/>
      <c r="B216" s="19"/>
      <c r="C216" s="19"/>
      <c r="D216" s="26"/>
      <c r="E216" s="27" t="str">
        <f aca="false">IF($B216="","",IFERROR(INDEX(Products!$B$2:$B$201,MATCH($B216,Products!$A$2:$A$201,0)),"Unknown code"))</f>
        <v/>
      </c>
      <c r="F216" s="22" t="str">
        <f aca="false">IF($B216="","",IFERROR(INDEX(Products!$C$2:$C$201,MATCH($B216,Products!$A$2:$A$201,0)),""))</f>
        <v/>
      </c>
      <c r="G216" s="17" t="str">
        <f aca="false">IF($B216="","",IFERROR(INDEX(Products!$D$2:$D$201,MATCH($B216,Products!$A$2:$A$201,0)),0))</f>
        <v/>
      </c>
      <c r="H216" s="17" t="str">
        <f aca="false">IF($B216="","",C216*G216*(1-D216))</f>
        <v/>
      </c>
      <c r="I216" s="17" t="str">
        <f aca="false">IF($B216="","",C216*IFERROR(INDEX(Products!$E$2:$E$201,MATCH($B216,Products!$A$2:$A$201,0)),0))</f>
        <v/>
      </c>
      <c r="J216" s="17" t="str">
        <f aca="false">IF($B216="","",H216-I216)</f>
        <v/>
      </c>
      <c r="K216" s="16" t="str">
        <f aca="false">IF($A216="","",DATE(YEAR($A216),MONTH($A216),1))</f>
        <v/>
      </c>
    </row>
    <row r="217" customFormat="false" ht="15" hidden="false" customHeight="false" outlineLevel="0" collapsed="false">
      <c r="A217" s="25"/>
      <c r="B217" s="19"/>
      <c r="C217" s="19"/>
      <c r="D217" s="26"/>
      <c r="E217" s="27" t="str">
        <f aca="false">IF($B217="","",IFERROR(INDEX(Products!$B$2:$B$201,MATCH($B217,Products!$A$2:$A$201,0)),"Unknown code"))</f>
        <v/>
      </c>
      <c r="F217" s="22" t="str">
        <f aca="false">IF($B217="","",IFERROR(INDEX(Products!$C$2:$C$201,MATCH($B217,Products!$A$2:$A$201,0)),""))</f>
        <v/>
      </c>
      <c r="G217" s="17" t="str">
        <f aca="false">IF($B217="","",IFERROR(INDEX(Products!$D$2:$D$201,MATCH($B217,Products!$A$2:$A$201,0)),0))</f>
        <v/>
      </c>
      <c r="H217" s="17" t="str">
        <f aca="false">IF($B217="","",C217*G217*(1-D217))</f>
        <v/>
      </c>
      <c r="I217" s="17" t="str">
        <f aca="false">IF($B217="","",C217*IFERROR(INDEX(Products!$E$2:$E$201,MATCH($B217,Products!$A$2:$A$201,0)),0))</f>
        <v/>
      </c>
      <c r="J217" s="17" t="str">
        <f aca="false">IF($B217="","",H217-I217)</f>
        <v/>
      </c>
      <c r="K217" s="16" t="str">
        <f aca="false">IF($A217="","",DATE(YEAR($A217),MONTH($A217),1))</f>
        <v/>
      </c>
    </row>
    <row r="218" customFormat="false" ht="15" hidden="false" customHeight="false" outlineLevel="0" collapsed="false">
      <c r="A218" s="25"/>
      <c r="B218" s="19"/>
      <c r="C218" s="19"/>
      <c r="D218" s="26"/>
      <c r="E218" s="27" t="str">
        <f aca="false">IF($B218="","",IFERROR(INDEX(Products!$B$2:$B$201,MATCH($B218,Products!$A$2:$A$201,0)),"Unknown code"))</f>
        <v/>
      </c>
      <c r="F218" s="22" t="str">
        <f aca="false">IF($B218="","",IFERROR(INDEX(Products!$C$2:$C$201,MATCH($B218,Products!$A$2:$A$201,0)),""))</f>
        <v/>
      </c>
      <c r="G218" s="17" t="str">
        <f aca="false">IF($B218="","",IFERROR(INDEX(Products!$D$2:$D$201,MATCH($B218,Products!$A$2:$A$201,0)),0))</f>
        <v/>
      </c>
      <c r="H218" s="17" t="str">
        <f aca="false">IF($B218="","",C218*G218*(1-D218))</f>
        <v/>
      </c>
      <c r="I218" s="17" t="str">
        <f aca="false">IF($B218="","",C218*IFERROR(INDEX(Products!$E$2:$E$201,MATCH($B218,Products!$A$2:$A$201,0)),0))</f>
        <v/>
      </c>
      <c r="J218" s="17" t="str">
        <f aca="false">IF($B218="","",H218-I218)</f>
        <v/>
      </c>
      <c r="K218" s="16" t="str">
        <f aca="false">IF($A218="","",DATE(YEAR($A218),MONTH($A218),1))</f>
        <v/>
      </c>
    </row>
    <row r="219" customFormat="false" ht="15" hidden="false" customHeight="false" outlineLevel="0" collapsed="false">
      <c r="A219" s="25"/>
      <c r="B219" s="19"/>
      <c r="C219" s="19"/>
      <c r="D219" s="26"/>
      <c r="E219" s="27" t="str">
        <f aca="false">IF($B219="","",IFERROR(INDEX(Products!$B$2:$B$201,MATCH($B219,Products!$A$2:$A$201,0)),"Unknown code"))</f>
        <v/>
      </c>
      <c r="F219" s="22" t="str">
        <f aca="false">IF($B219="","",IFERROR(INDEX(Products!$C$2:$C$201,MATCH($B219,Products!$A$2:$A$201,0)),""))</f>
        <v/>
      </c>
      <c r="G219" s="17" t="str">
        <f aca="false">IF($B219="","",IFERROR(INDEX(Products!$D$2:$D$201,MATCH($B219,Products!$A$2:$A$201,0)),0))</f>
        <v/>
      </c>
      <c r="H219" s="17" t="str">
        <f aca="false">IF($B219="","",C219*G219*(1-D219))</f>
        <v/>
      </c>
      <c r="I219" s="17" t="str">
        <f aca="false">IF($B219="","",C219*IFERROR(INDEX(Products!$E$2:$E$201,MATCH($B219,Products!$A$2:$A$201,0)),0))</f>
        <v/>
      </c>
      <c r="J219" s="17" t="str">
        <f aca="false">IF($B219="","",H219-I219)</f>
        <v/>
      </c>
      <c r="K219" s="16" t="str">
        <f aca="false">IF($A219="","",DATE(YEAR($A219),MONTH($A219),1))</f>
        <v/>
      </c>
    </row>
    <row r="220" customFormat="false" ht="15" hidden="false" customHeight="false" outlineLevel="0" collapsed="false">
      <c r="A220" s="25"/>
      <c r="B220" s="19"/>
      <c r="C220" s="19"/>
      <c r="D220" s="26"/>
      <c r="E220" s="27" t="str">
        <f aca="false">IF($B220="","",IFERROR(INDEX(Products!$B$2:$B$201,MATCH($B220,Products!$A$2:$A$201,0)),"Unknown code"))</f>
        <v/>
      </c>
      <c r="F220" s="22" t="str">
        <f aca="false">IF($B220="","",IFERROR(INDEX(Products!$C$2:$C$201,MATCH($B220,Products!$A$2:$A$201,0)),""))</f>
        <v/>
      </c>
      <c r="G220" s="17" t="str">
        <f aca="false">IF($B220="","",IFERROR(INDEX(Products!$D$2:$D$201,MATCH($B220,Products!$A$2:$A$201,0)),0))</f>
        <v/>
      </c>
      <c r="H220" s="17" t="str">
        <f aca="false">IF($B220="","",C220*G220*(1-D220))</f>
        <v/>
      </c>
      <c r="I220" s="17" t="str">
        <f aca="false">IF($B220="","",C220*IFERROR(INDEX(Products!$E$2:$E$201,MATCH($B220,Products!$A$2:$A$201,0)),0))</f>
        <v/>
      </c>
      <c r="J220" s="17" t="str">
        <f aca="false">IF($B220="","",H220-I220)</f>
        <v/>
      </c>
      <c r="K220" s="16" t="str">
        <f aca="false">IF($A220="","",DATE(YEAR($A220),MONTH($A220),1))</f>
        <v/>
      </c>
    </row>
    <row r="221" customFormat="false" ht="15" hidden="false" customHeight="false" outlineLevel="0" collapsed="false">
      <c r="A221" s="25"/>
      <c r="B221" s="19"/>
      <c r="C221" s="19"/>
      <c r="D221" s="26"/>
      <c r="E221" s="27" t="str">
        <f aca="false">IF($B221="","",IFERROR(INDEX(Products!$B$2:$B$201,MATCH($B221,Products!$A$2:$A$201,0)),"Unknown code"))</f>
        <v/>
      </c>
      <c r="F221" s="22" t="str">
        <f aca="false">IF($B221="","",IFERROR(INDEX(Products!$C$2:$C$201,MATCH($B221,Products!$A$2:$A$201,0)),""))</f>
        <v/>
      </c>
      <c r="G221" s="17" t="str">
        <f aca="false">IF($B221="","",IFERROR(INDEX(Products!$D$2:$D$201,MATCH($B221,Products!$A$2:$A$201,0)),0))</f>
        <v/>
      </c>
      <c r="H221" s="17" t="str">
        <f aca="false">IF($B221="","",C221*G221*(1-D221))</f>
        <v/>
      </c>
      <c r="I221" s="17" t="str">
        <f aca="false">IF($B221="","",C221*IFERROR(INDEX(Products!$E$2:$E$201,MATCH($B221,Products!$A$2:$A$201,0)),0))</f>
        <v/>
      </c>
      <c r="J221" s="17" t="str">
        <f aca="false">IF($B221="","",H221-I221)</f>
        <v/>
      </c>
      <c r="K221" s="16" t="str">
        <f aca="false">IF($A221="","",DATE(YEAR($A221),MONTH($A221),1))</f>
        <v/>
      </c>
    </row>
    <row r="222" customFormat="false" ht="15" hidden="false" customHeight="false" outlineLevel="0" collapsed="false">
      <c r="A222" s="25"/>
      <c r="B222" s="19"/>
      <c r="C222" s="19"/>
      <c r="D222" s="26"/>
      <c r="E222" s="27" t="str">
        <f aca="false">IF($B222="","",IFERROR(INDEX(Products!$B$2:$B$201,MATCH($B222,Products!$A$2:$A$201,0)),"Unknown code"))</f>
        <v/>
      </c>
      <c r="F222" s="22" t="str">
        <f aca="false">IF($B222="","",IFERROR(INDEX(Products!$C$2:$C$201,MATCH($B222,Products!$A$2:$A$201,0)),""))</f>
        <v/>
      </c>
      <c r="G222" s="17" t="str">
        <f aca="false">IF($B222="","",IFERROR(INDEX(Products!$D$2:$D$201,MATCH($B222,Products!$A$2:$A$201,0)),0))</f>
        <v/>
      </c>
      <c r="H222" s="17" t="str">
        <f aca="false">IF($B222="","",C222*G222*(1-D222))</f>
        <v/>
      </c>
      <c r="I222" s="17" t="str">
        <f aca="false">IF($B222="","",C222*IFERROR(INDEX(Products!$E$2:$E$201,MATCH($B222,Products!$A$2:$A$201,0)),0))</f>
        <v/>
      </c>
      <c r="J222" s="17" t="str">
        <f aca="false">IF($B222="","",H222-I222)</f>
        <v/>
      </c>
      <c r="K222" s="16" t="str">
        <f aca="false">IF($A222="","",DATE(YEAR($A222),MONTH($A222),1))</f>
        <v/>
      </c>
    </row>
    <row r="223" customFormat="false" ht="15" hidden="false" customHeight="false" outlineLevel="0" collapsed="false">
      <c r="A223" s="25"/>
      <c r="B223" s="19"/>
      <c r="C223" s="19"/>
      <c r="D223" s="26"/>
      <c r="E223" s="27" t="str">
        <f aca="false">IF($B223="","",IFERROR(INDEX(Products!$B$2:$B$201,MATCH($B223,Products!$A$2:$A$201,0)),"Unknown code"))</f>
        <v/>
      </c>
      <c r="F223" s="22" t="str">
        <f aca="false">IF($B223="","",IFERROR(INDEX(Products!$C$2:$C$201,MATCH($B223,Products!$A$2:$A$201,0)),""))</f>
        <v/>
      </c>
      <c r="G223" s="17" t="str">
        <f aca="false">IF($B223="","",IFERROR(INDEX(Products!$D$2:$D$201,MATCH($B223,Products!$A$2:$A$201,0)),0))</f>
        <v/>
      </c>
      <c r="H223" s="17" t="str">
        <f aca="false">IF($B223="","",C223*G223*(1-D223))</f>
        <v/>
      </c>
      <c r="I223" s="17" t="str">
        <f aca="false">IF($B223="","",C223*IFERROR(INDEX(Products!$E$2:$E$201,MATCH($B223,Products!$A$2:$A$201,0)),0))</f>
        <v/>
      </c>
      <c r="J223" s="17" t="str">
        <f aca="false">IF($B223="","",H223-I223)</f>
        <v/>
      </c>
      <c r="K223" s="16" t="str">
        <f aca="false">IF($A223="","",DATE(YEAR($A223),MONTH($A223),1))</f>
        <v/>
      </c>
    </row>
    <row r="224" customFormat="false" ht="15" hidden="false" customHeight="false" outlineLevel="0" collapsed="false">
      <c r="A224" s="25"/>
      <c r="B224" s="19"/>
      <c r="C224" s="19"/>
      <c r="D224" s="26"/>
      <c r="E224" s="27" t="str">
        <f aca="false">IF($B224="","",IFERROR(INDEX(Products!$B$2:$B$201,MATCH($B224,Products!$A$2:$A$201,0)),"Unknown code"))</f>
        <v/>
      </c>
      <c r="F224" s="22" t="str">
        <f aca="false">IF($B224="","",IFERROR(INDEX(Products!$C$2:$C$201,MATCH($B224,Products!$A$2:$A$201,0)),""))</f>
        <v/>
      </c>
      <c r="G224" s="17" t="str">
        <f aca="false">IF($B224="","",IFERROR(INDEX(Products!$D$2:$D$201,MATCH($B224,Products!$A$2:$A$201,0)),0))</f>
        <v/>
      </c>
      <c r="H224" s="17" t="str">
        <f aca="false">IF($B224="","",C224*G224*(1-D224))</f>
        <v/>
      </c>
      <c r="I224" s="17" t="str">
        <f aca="false">IF($B224="","",C224*IFERROR(INDEX(Products!$E$2:$E$201,MATCH($B224,Products!$A$2:$A$201,0)),0))</f>
        <v/>
      </c>
      <c r="J224" s="17" t="str">
        <f aca="false">IF($B224="","",H224-I224)</f>
        <v/>
      </c>
      <c r="K224" s="16" t="str">
        <f aca="false">IF($A224="","",DATE(YEAR($A224),MONTH($A224),1))</f>
        <v/>
      </c>
    </row>
    <row r="225" customFormat="false" ht="15" hidden="false" customHeight="false" outlineLevel="0" collapsed="false">
      <c r="A225" s="25"/>
      <c r="B225" s="19"/>
      <c r="C225" s="19"/>
      <c r="D225" s="26"/>
      <c r="E225" s="27" t="str">
        <f aca="false">IF($B225="","",IFERROR(INDEX(Products!$B$2:$B$201,MATCH($B225,Products!$A$2:$A$201,0)),"Unknown code"))</f>
        <v/>
      </c>
      <c r="F225" s="22" t="str">
        <f aca="false">IF($B225="","",IFERROR(INDEX(Products!$C$2:$C$201,MATCH($B225,Products!$A$2:$A$201,0)),""))</f>
        <v/>
      </c>
      <c r="G225" s="17" t="str">
        <f aca="false">IF($B225="","",IFERROR(INDEX(Products!$D$2:$D$201,MATCH($B225,Products!$A$2:$A$201,0)),0))</f>
        <v/>
      </c>
      <c r="H225" s="17" t="str">
        <f aca="false">IF($B225="","",C225*G225*(1-D225))</f>
        <v/>
      </c>
      <c r="I225" s="17" t="str">
        <f aca="false">IF($B225="","",C225*IFERROR(INDEX(Products!$E$2:$E$201,MATCH($B225,Products!$A$2:$A$201,0)),0))</f>
        <v/>
      </c>
      <c r="J225" s="17" t="str">
        <f aca="false">IF($B225="","",H225-I225)</f>
        <v/>
      </c>
      <c r="K225" s="16" t="str">
        <f aca="false">IF($A225="","",DATE(YEAR($A225),MONTH($A225),1))</f>
        <v/>
      </c>
    </row>
    <row r="226" customFormat="false" ht="15" hidden="false" customHeight="false" outlineLevel="0" collapsed="false">
      <c r="A226" s="25"/>
      <c r="B226" s="19"/>
      <c r="C226" s="19"/>
      <c r="D226" s="26"/>
      <c r="E226" s="27" t="str">
        <f aca="false">IF($B226="","",IFERROR(INDEX(Products!$B$2:$B$201,MATCH($B226,Products!$A$2:$A$201,0)),"Unknown code"))</f>
        <v/>
      </c>
      <c r="F226" s="22" t="str">
        <f aca="false">IF($B226="","",IFERROR(INDEX(Products!$C$2:$C$201,MATCH($B226,Products!$A$2:$A$201,0)),""))</f>
        <v/>
      </c>
      <c r="G226" s="17" t="str">
        <f aca="false">IF($B226="","",IFERROR(INDEX(Products!$D$2:$D$201,MATCH($B226,Products!$A$2:$A$201,0)),0))</f>
        <v/>
      </c>
      <c r="H226" s="17" t="str">
        <f aca="false">IF($B226="","",C226*G226*(1-D226))</f>
        <v/>
      </c>
      <c r="I226" s="17" t="str">
        <f aca="false">IF($B226="","",C226*IFERROR(INDEX(Products!$E$2:$E$201,MATCH($B226,Products!$A$2:$A$201,0)),0))</f>
        <v/>
      </c>
      <c r="J226" s="17" t="str">
        <f aca="false">IF($B226="","",H226-I226)</f>
        <v/>
      </c>
      <c r="K226" s="16" t="str">
        <f aca="false">IF($A226="","",DATE(YEAR($A226),MONTH($A226),1))</f>
        <v/>
      </c>
    </row>
    <row r="227" customFormat="false" ht="15" hidden="false" customHeight="false" outlineLevel="0" collapsed="false">
      <c r="A227" s="25"/>
      <c r="B227" s="19"/>
      <c r="C227" s="19"/>
      <c r="D227" s="26"/>
      <c r="E227" s="27" t="str">
        <f aca="false">IF($B227="","",IFERROR(INDEX(Products!$B$2:$B$201,MATCH($B227,Products!$A$2:$A$201,0)),"Unknown code"))</f>
        <v/>
      </c>
      <c r="F227" s="22" t="str">
        <f aca="false">IF($B227="","",IFERROR(INDEX(Products!$C$2:$C$201,MATCH($B227,Products!$A$2:$A$201,0)),""))</f>
        <v/>
      </c>
      <c r="G227" s="17" t="str">
        <f aca="false">IF($B227="","",IFERROR(INDEX(Products!$D$2:$D$201,MATCH($B227,Products!$A$2:$A$201,0)),0))</f>
        <v/>
      </c>
      <c r="H227" s="17" t="str">
        <f aca="false">IF($B227="","",C227*G227*(1-D227))</f>
        <v/>
      </c>
      <c r="I227" s="17" t="str">
        <f aca="false">IF($B227="","",C227*IFERROR(INDEX(Products!$E$2:$E$201,MATCH($B227,Products!$A$2:$A$201,0)),0))</f>
        <v/>
      </c>
      <c r="J227" s="17" t="str">
        <f aca="false">IF($B227="","",H227-I227)</f>
        <v/>
      </c>
      <c r="K227" s="16" t="str">
        <f aca="false">IF($A227="","",DATE(YEAR($A227),MONTH($A227),1))</f>
        <v/>
      </c>
    </row>
    <row r="228" customFormat="false" ht="15" hidden="false" customHeight="false" outlineLevel="0" collapsed="false">
      <c r="A228" s="25"/>
      <c r="B228" s="19"/>
      <c r="C228" s="19"/>
      <c r="D228" s="26"/>
      <c r="E228" s="27" t="str">
        <f aca="false">IF($B228="","",IFERROR(INDEX(Products!$B$2:$B$201,MATCH($B228,Products!$A$2:$A$201,0)),"Unknown code"))</f>
        <v/>
      </c>
      <c r="F228" s="22" t="str">
        <f aca="false">IF($B228="","",IFERROR(INDEX(Products!$C$2:$C$201,MATCH($B228,Products!$A$2:$A$201,0)),""))</f>
        <v/>
      </c>
      <c r="G228" s="17" t="str">
        <f aca="false">IF($B228="","",IFERROR(INDEX(Products!$D$2:$D$201,MATCH($B228,Products!$A$2:$A$201,0)),0))</f>
        <v/>
      </c>
      <c r="H228" s="17" t="str">
        <f aca="false">IF($B228="","",C228*G228*(1-D228))</f>
        <v/>
      </c>
      <c r="I228" s="17" t="str">
        <f aca="false">IF($B228="","",C228*IFERROR(INDEX(Products!$E$2:$E$201,MATCH($B228,Products!$A$2:$A$201,0)),0))</f>
        <v/>
      </c>
      <c r="J228" s="17" t="str">
        <f aca="false">IF($B228="","",H228-I228)</f>
        <v/>
      </c>
      <c r="K228" s="16" t="str">
        <f aca="false">IF($A228="","",DATE(YEAR($A228),MONTH($A228),1))</f>
        <v/>
      </c>
    </row>
    <row r="229" customFormat="false" ht="15" hidden="false" customHeight="false" outlineLevel="0" collapsed="false">
      <c r="A229" s="25"/>
      <c r="B229" s="19"/>
      <c r="C229" s="19"/>
      <c r="D229" s="26"/>
      <c r="E229" s="27" t="str">
        <f aca="false">IF($B229="","",IFERROR(INDEX(Products!$B$2:$B$201,MATCH($B229,Products!$A$2:$A$201,0)),"Unknown code"))</f>
        <v/>
      </c>
      <c r="F229" s="22" t="str">
        <f aca="false">IF($B229="","",IFERROR(INDEX(Products!$C$2:$C$201,MATCH($B229,Products!$A$2:$A$201,0)),""))</f>
        <v/>
      </c>
      <c r="G229" s="17" t="str">
        <f aca="false">IF($B229="","",IFERROR(INDEX(Products!$D$2:$D$201,MATCH($B229,Products!$A$2:$A$201,0)),0))</f>
        <v/>
      </c>
      <c r="H229" s="17" t="str">
        <f aca="false">IF($B229="","",C229*G229*(1-D229))</f>
        <v/>
      </c>
      <c r="I229" s="17" t="str">
        <f aca="false">IF($B229="","",C229*IFERROR(INDEX(Products!$E$2:$E$201,MATCH($B229,Products!$A$2:$A$201,0)),0))</f>
        <v/>
      </c>
      <c r="J229" s="17" t="str">
        <f aca="false">IF($B229="","",H229-I229)</f>
        <v/>
      </c>
      <c r="K229" s="16" t="str">
        <f aca="false">IF($A229="","",DATE(YEAR($A229),MONTH($A229),1))</f>
        <v/>
      </c>
    </row>
    <row r="230" customFormat="false" ht="15" hidden="false" customHeight="false" outlineLevel="0" collapsed="false">
      <c r="A230" s="25"/>
      <c r="B230" s="19"/>
      <c r="C230" s="19"/>
      <c r="D230" s="26"/>
      <c r="E230" s="27" t="str">
        <f aca="false">IF($B230="","",IFERROR(INDEX(Products!$B$2:$B$201,MATCH($B230,Products!$A$2:$A$201,0)),"Unknown code"))</f>
        <v/>
      </c>
      <c r="F230" s="22" t="str">
        <f aca="false">IF($B230="","",IFERROR(INDEX(Products!$C$2:$C$201,MATCH($B230,Products!$A$2:$A$201,0)),""))</f>
        <v/>
      </c>
      <c r="G230" s="17" t="str">
        <f aca="false">IF($B230="","",IFERROR(INDEX(Products!$D$2:$D$201,MATCH($B230,Products!$A$2:$A$201,0)),0))</f>
        <v/>
      </c>
      <c r="H230" s="17" t="str">
        <f aca="false">IF($B230="","",C230*G230*(1-D230))</f>
        <v/>
      </c>
      <c r="I230" s="17" t="str">
        <f aca="false">IF($B230="","",C230*IFERROR(INDEX(Products!$E$2:$E$201,MATCH($B230,Products!$A$2:$A$201,0)),0))</f>
        <v/>
      </c>
      <c r="J230" s="17" t="str">
        <f aca="false">IF($B230="","",H230-I230)</f>
        <v/>
      </c>
      <c r="K230" s="16" t="str">
        <f aca="false">IF($A230="","",DATE(YEAR($A230),MONTH($A230),1))</f>
        <v/>
      </c>
    </row>
    <row r="231" customFormat="false" ht="15" hidden="false" customHeight="false" outlineLevel="0" collapsed="false">
      <c r="A231" s="25"/>
      <c r="B231" s="19"/>
      <c r="C231" s="19"/>
      <c r="D231" s="26"/>
      <c r="E231" s="27" t="str">
        <f aca="false">IF($B231="","",IFERROR(INDEX(Products!$B$2:$B$201,MATCH($B231,Products!$A$2:$A$201,0)),"Unknown code"))</f>
        <v/>
      </c>
      <c r="F231" s="22" t="str">
        <f aca="false">IF($B231="","",IFERROR(INDEX(Products!$C$2:$C$201,MATCH($B231,Products!$A$2:$A$201,0)),""))</f>
        <v/>
      </c>
      <c r="G231" s="17" t="str">
        <f aca="false">IF($B231="","",IFERROR(INDEX(Products!$D$2:$D$201,MATCH($B231,Products!$A$2:$A$201,0)),0))</f>
        <v/>
      </c>
      <c r="H231" s="17" t="str">
        <f aca="false">IF($B231="","",C231*G231*(1-D231))</f>
        <v/>
      </c>
      <c r="I231" s="17" t="str">
        <f aca="false">IF($B231="","",C231*IFERROR(INDEX(Products!$E$2:$E$201,MATCH($B231,Products!$A$2:$A$201,0)),0))</f>
        <v/>
      </c>
      <c r="J231" s="17" t="str">
        <f aca="false">IF($B231="","",H231-I231)</f>
        <v/>
      </c>
      <c r="K231" s="16" t="str">
        <f aca="false">IF($A231="","",DATE(YEAR($A231),MONTH($A231),1))</f>
        <v/>
      </c>
    </row>
    <row r="232" customFormat="false" ht="15" hidden="false" customHeight="false" outlineLevel="0" collapsed="false">
      <c r="A232" s="25"/>
      <c r="B232" s="19"/>
      <c r="C232" s="19"/>
      <c r="D232" s="26"/>
      <c r="E232" s="27" t="str">
        <f aca="false">IF($B232="","",IFERROR(INDEX(Products!$B$2:$B$201,MATCH($B232,Products!$A$2:$A$201,0)),"Unknown code"))</f>
        <v/>
      </c>
      <c r="F232" s="22" t="str">
        <f aca="false">IF($B232="","",IFERROR(INDEX(Products!$C$2:$C$201,MATCH($B232,Products!$A$2:$A$201,0)),""))</f>
        <v/>
      </c>
      <c r="G232" s="17" t="str">
        <f aca="false">IF($B232="","",IFERROR(INDEX(Products!$D$2:$D$201,MATCH($B232,Products!$A$2:$A$201,0)),0))</f>
        <v/>
      </c>
      <c r="H232" s="17" t="str">
        <f aca="false">IF($B232="","",C232*G232*(1-D232))</f>
        <v/>
      </c>
      <c r="I232" s="17" t="str">
        <f aca="false">IF($B232="","",C232*IFERROR(INDEX(Products!$E$2:$E$201,MATCH($B232,Products!$A$2:$A$201,0)),0))</f>
        <v/>
      </c>
      <c r="J232" s="17" t="str">
        <f aca="false">IF($B232="","",H232-I232)</f>
        <v/>
      </c>
      <c r="K232" s="16" t="str">
        <f aca="false">IF($A232="","",DATE(YEAR($A232),MONTH($A232),1))</f>
        <v/>
      </c>
    </row>
    <row r="233" customFormat="false" ht="15" hidden="false" customHeight="false" outlineLevel="0" collapsed="false">
      <c r="A233" s="25"/>
      <c r="B233" s="19"/>
      <c r="C233" s="19"/>
      <c r="D233" s="26"/>
      <c r="E233" s="27" t="str">
        <f aca="false">IF($B233="","",IFERROR(INDEX(Products!$B$2:$B$201,MATCH($B233,Products!$A$2:$A$201,0)),"Unknown code"))</f>
        <v/>
      </c>
      <c r="F233" s="22" t="str">
        <f aca="false">IF($B233="","",IFERROR(INDEX(Products!$C$2:$C$201,MATCH($B233,Products!$A$2:$A$201,0)),""))</f>
        <v/>
      </c>
      <c r="G233" s="17" t="str">
        <f aca="false">IF($B233="","",IFERROR(INDEX(Products!$D$2:$D$201,MATCH($B233,Products!$A$2:$A$201,0)),0))</f>
        <v/>
      </c>
      <c r="H233" s="17" t="str">
        <f aca="false">IF($B233="","",C233*G233*(1-D233))</f>
        <v/>
      </c>
      <c r="I233" s="17" t="str">
        <f aca="false">IF($B233="","",C233*IFERROR(INDEX(Products!$E$2:$E$201,MATCH($B233,Products!$A$2:$A$201,0)),0))</f>
        <v/>
      </c>
      <c r="J233" s="17" t="str">
        <f aca="false">IF($B233="","",H233-I233)</f>
        <v/>
      </c>
      <c r="K233" s="16" t="str">
        <f aca="false">IF($A233="","",DATE(YEAR($A233),MONTH($A233),1))</f>
        <v/>
      </c>
    </row>
    <row r="234" customFormat="false" ht="15" hidden="false" customHeight="false" outlineLevel="0" collapsed="false">
      <c r="A234" s="25"/>
      <c r="B234" s="19"/>
      <c r="C234" s="19"/>
      <c r="D234" s="26"/>
      <c r="E234" s="27" t="str">
        <f aca="false">IF($B234="","",IFERROR(INDEX(Products!$B$2:$B$201,MATCH($B234,Products!$A$2:$A$201,0)),"Unknown code"))</f>
        <v/>
      </c>
      <c r="F234" s="22" t="str">
        <f aca="false">IF($B234="","",IFERROR(INDEX(Products!$C$2:$C$201,MATCH($B234,Products!$A$2:$A$201,0)),""))</f>
        <v/>
      </c>
      <c r="G234" s="17" t="str">
        <f aca="false">IF($B234="","",IFERROR(INDEX(Products!$D$2:$D$201,MATCH($B234,Products!$A$2:$A$201,0)),0))</f>
        <v/>
      </c>
      <c r="H234" s="17" t="str">
        <f aca="false">IF($B234="","",C234*G234*(1-D234))</f>
        <v/>
      </c>
      <c r="I234" s="17" t="str">
        <f aca="false">IF($B234="","",C234*IFERROR(INDEX(Products!$E$2:$E$201,MATCH($B234,Products!$A$2:$A$201,0)),0))</f>
        <v/>
      </c>
      <c r="J234" s="17" t="str">
        <f aca="false">IF($B234="","",H234-I234)</f>
        <v/>
      </c>
      <c r="K234" s="16" t="str">
        <f aca="false">IF($A234="","",DATE(YEAR($A234),MONTH($A234),1))</f>
        <v/>
      </c>
    </row>
    <row r="235" customFormat="false" ht="15" hidden="false" customHeight="false" outlineLevel="0" collapsed="false">
      <c r="A235" s="25"/>
      <c r="B235" s="19"/>
      <c r="C235" s="19"/>
      <c r="D235" s="26"/>
      <c r="E235" s="27" t="str">
        <f aca="false">IF($B235="","",IFERROR(INDEX(Products!$B$2:$B$201,MATCH($B235,Products!$A$2:$A$201,0)),"Unknown code"))</f>
        <v/>
      </c>
      <c r="F235" s="22" t="str">
        <f aca="false">IF($B235="","",IFERROR(INDEX(Products!$C$2:$C$201,MATCH($B235,Products!$A$2:$A$201,0)),""))</f>
        <v/>
      </c>
      <c r="G235" s="17" t="str">
        <f aca="false">IF($B235="","",IFERROR(INDEX(Products!$D$2:$D$201,MATCH($B235,Products!$A$2:$A$201,0)),0))</f>
        <v/>
      </c>
      <c r="H235" s="17" t="str">
        <f aca="false">IF($B235="","",C235*G235*(1-D235))</f>
        <v/>
      </c>
      <c r="I235" s="17" t="str">
        <f aca="false">IF($B235="","",C235*IFERROR(INDEX(Products!$E$2:$E$201,MATCH($B235,Products!$A$2:$A$201,0)),0))</f>
        <v/>
      </c>
      <c r="J235" s="17" t="str">
        <f aca="false">IF($B235="","",H235-I235)</f>
        <v/>
      </c>
      <c r="K235" s="16" t="str">
        <f aca="false">IF($A235="","",DATE(YEAR($A235),MONTH($A235),1))</f>
        <v/>
      </c>
    </row>
    <row r="236" customFormat="false" ht="15" hidden="false" customHeight="false" outlineLevel="0" collapsed="false">
      <c r="A236" s="25"/>
      <c r="B236" s="19"/>
      <c r="C236" s="19"/>
      <c r="D236" s="26"/>
      <c r="E236" s="27" t="str">
        <f aca="false">IF($B236="","",IFERROR(INDEX(Products!$B$2:$B$201,MATCH($B236,Products!$A$2:$A$201,0)),"Unknown code"))</f>
        <v/>
      </c>
      <c r="F236" s="22" t="str">
        <f aca="false">IF($B236="","",IFERROR(INDEX(Products!$C$2:$C$201,MATCH($B236,Products!$A$2:$A$201,0)),""))</f>
        <v/>
      </c>
      <c r="G236" s="17" t="str">
        <f aca="false">IF($B236="","",IFERROR(INDEX(Products!$D$2:$D$201,MATCH($B236,Products!$A$2:$A$201,0)),0))</f>
        <v/>
      </c>
      <c r="H236" s="17" t="str">
        <f aca="false">IF($B236="","",C236*G236*(1-D236))</f>
        <v/>
      </c>
      <c r="I236" s="17" t="str">
        <f aca="false">IF($B236="","",C236*IFERROR(INDEX(Products!$E$2:$E$201,MATCH($B236,Products!$A$2:$A$201,0)),0))</f>
        <v/>
      </c>
      <c r="J236" s="17" t="str">
        <f aca="false">IF($B236="","",H236-I236)</f>
        <v/>
      </c>
      <c r="K236" s="16" t="str">
        <f aca="false">IF($A236="","",DATE(YEAR($A236),MONTH($A236),1))</f>
        <v/>
      </c>
    </row>
    <row r="237" customFormat="false" ht="15" hidden="false" customHeight="false" outlineLevel="0" collapsed="false">
      <c r="A237" s="25"/>
      <c r="B237" s="19"/>
      <c r="C237" s="19"/>
      <c r="D237" s="26"/>
      <c r="E237" s="27" t="str">
        <f aca="false">IF($B237="","",IFERROR(INDEX(Products!$B$2:$B$201,MATCH($B237,Products!$A$2:$A$201,0)),"Unknown code"))</f>
        <v/>
      </c>
      <c r="F237" s="22" t="str">
        <f aca="false">IF($B237="","",IFERROR(INDEX(Products!$C$2:$C$201,MATCH($B237,Products!$A$2:$A$201,0)),""))</f>
        <v/>
      </c>
      <c r="G237" s="17" t="str">
        <f aca="false">IF($B237="","",IFERROR(INDEX(Products!$D$2:$D$201,MATCH($B237,Products!$A$2:$A$201,0)),0))</f>
        <v/>
      </c>
      <c r="H237" s="17" t="str">
        <f aca="false">IF($B237="","",C237*G237*(1-D237))</f>
        <v/>
      </c>
      <c r="I237" s="17" t="str">
        <f aca="false">IF($B237="","",C237*IFERROR(INDEX(Products!$E$2:$E$201,MATCH($B237,Products!$A$2:$A$201,0)),0))</f>
        <v/>
      </c>
      <c r="J237" s="17" t="str">
        <f aca="false">IF($B237="","",H237-I237)</f>
        <v/>
      </c>
      <c r="K237" s="16" t="str">
        <f aca="false">IF($A237="","",DATE(YEAR($A237),MONTH($A237),1))</f>
        <v/>
      </c>
    </row>
    <row r="238" customFormat="false" ht="15" hidden="false" customHeight="false" outlineLevel="0" collapsed="false">
      <c r="A238" s="25"/>
      <c r="B238" s="19"/>
      <c r="C238" s="19"/>
      <c r="D238" s="26"/>
      <c r="E238" s="27" t="str">
        <f aca="false">IF($B238="","",IFERROR(INDEX(Products!$B$2:$B$201,MATCH($B238,Products!$A$2:$A$201,0)),"Unknown code"))</f>
        <v/>
      </c>
      <c r="F238" s="22" t="str">
        <f aca="false">IF($B238="","",IFERROR(INDEX(Products!$C$2:$C$201,MATCH($B238,Products!$A$2:$A$201,0)),""))</f>
        <v/>
      </c>
      <c r="G238" s="17" t="str">
        <f aca="false">IF($B238="","",IFERROR(INDEX(Products!$D$2:$D$201,MATCH($B238,Products!$A$2:$A$201,0)),0))</f>
        <v/>
      </c>
      <c r="H238" s="17" t="str">
        <f aca="false">IF($B238="","",C238*G238*(1-D238))</f>
        <v/>
      </c>
      <c r="I238" s="17" t="str">
        <f aca="false">IF($B238="","",C238*IFERROR(INDEX(Products!$E$2:$E$201,MATCH($B238,Products!$A$2:$A$201,0)),0))</f>
        <v/>
      </c>
      <c r="J238" s="17" t="str">
        <f aca="false">IF($B238="","",H238-I238)</f>
        <v/>
      </c>
      <c r="K238" s="16" t="str">
        <f aca="false">IF($A238="","",DATE(YEAR($A238),MONTH($A238),1))</f>
        <v/>
      </c>
    </row>
    <row r="239" customFormat="false" ht="15" hidden="false" customHeight="false" outlineLevel="0" collapsed="false">
      <c r="A239" s="25"/>
      <c r="B239" s="19"/>
      <c r="C239" s="19"/>
      <c r="D239" s="26"/>
      <c r="E239" s="27" t="str">
        <f aca="false">IF($B239="","",IFERROR(INDEX(Products!$B$2:$B$201,MATCH($B239,Products!$A$2:$A$201,0)),"Unknown code"))</f>
        <v/>
      </c>
      <c r="F239" s="22" t="str">
        <f aca="false">IF($B239="","",IFERROR(INDEX(Products!$C$2:$C$201,MATCH($B239,Products!$A$2:$A$201,0)),""))</f>
        <v/>
      </c>
      <c r="G239" s="17" t="str">
        <f aca="false">IF($B239="","",IFERROR(INDEX(Products!$D$2:$D$201,MATCH($B239,Products!$A$2:$A$201,0)),0))</f>
        <v/>
      </c>
      <c r="H239" s="17" t="str">
        <f aca="false">IF($B239="","",C239*G239*(1-D239))</f>
        <v/>
      </c>
      <c r="I239" s="17" t="str">
        <f aca="false">IF($B239="","",C239*IFERROR(INDEX(Products!$E$2:$E$201,MATCH($B239,Products!$A$2:$A$201,0)),0))</f>
        <v/>
      </c>
      <c r="J239" s="17" t="str">
        <f aca="false">IF($B239="","",H239-I239)</f>
        <v/>
      </c>
      <c r="K239" s="16" t="str">
        <f aca="false">IF($A239="","",DATE(YEAR($A239),MONTH($A239),1))</f>
        <v/>
      </c>
    </row>
    <row r="240" customFormat="false" ht="15" hidden="false" customHeight="false" outlineLevel="0" collapsed="false">
      <c r="A240" s="25"/>
      <c r="B240" s="19"/>
      <c r="C240" s="19"/>
      <c r="D240" s="26"/>
      <c r="E240" s="27" t="str">
        <f aca="false">IF($B240="","",IFERROR(INDEX(Products!$B$2:$B$201,MATCH($B240,Products!$A$2:$A$201,0)),"Unknown code"))</f>
        <v/>
      </c>
      <c r="F240" s="22" t="str">
        <f aca="false">IF($B240="","",IFERROR(INDEX(Products!$C$2:$C$201,MATCH($B240,Products!$A$2:$A$201,0)),""))</f>
        <v/>
      </c>
      <c r="G240" s="17" t="str">
        <f aca="false">IF($B240="","",IFERROR(INDEX(Products!$D$2:$D$201,MATCH($B240,Products!$A$2:$A$201,0)),0))</f>
        <v/>
      </c>
      <c r="H240" s="17" t="str">
        <f aca="false">IF($B240="","",C240*G240*(1-D240))</f>
        <v/>
      </c>
      <c r="I240" s="17" t="str">
        <f aca="false">IF($B240="","",C240*IFERROR(INDEX(Products!$E$2:$E$201,MATCH($B240,Products!$A$2:$A$201,0)),0))</f>
        <v/>
      </c>
      <c r="J240" s="17" t="str">
        <f aca="false">IF($B240="","",H240-I240)</f>
        <v/>
      </c>
      <c r="K240" s="16" t="str">
        <f aca="false">IF($A240="","",DATE(YEAR($A240),MONTH($A240),1))</f>
        <v/>
      </c>
    </row>
    <row r="241" customFormat="false" ht="15" hidden="false" customHeight="false" outlineLevel="0" collapsed="false">
      <c r="A241" s="25"/>
      <c r="B241" s="19"/>
      <c r="C241" s="19"/>
      <c r="D241" s="26"/>
      <c r="E241" s="27" t="str">
        <f aca="false">IF($B241="","",IFERROR(INDEX(Products!$B$2:$B$201,MATCH($B241,Products!$A$2:$A$201,0)),"Unknown code"))</f>
        <v/>
      </c>
      <c r="F241" s="22" t="str">
        <f aca="false">IF($B241="","",IFERROR(INDEX(Products!$C$2:$C$201,MATCH($B241,Products!$A$2:$A$201,0)),""))</f>
        <v/>
      </c>
      <c r="G241" s="17" t="str">
        <f aca="false">IF($B241="","",IFERROR(INDEX(Products!$D$2:$D$201,MATCH($B241,Products!$A$2:$A$201,0)),0))</f>
        <v/>
      </c>
      <c r="H241" s="17" t="str">
        <f aca="false">IF($B241="","",C241*G241*(1-D241))</f>
        <v/>
      </c>
      <c r="I241" s="17" t="str">
        <f aca="false">IF($B241="","",C241*IFERROR(INDEX(Products!$E$2:$E$201,MATCH($B241,Products!$A$2:$A$201,0)),0))</f>
        <v/>
      </c>
      <c r="J241" s="17" t="str">
        <f aca="false">IF($B241="","",H241-I241)</f>
        <v/>
      </c>
      <c r="K241" s="16" t="str">
        <f aca="false">IF($A241="","",DATE(YEAR($A241),MONTH($A241),1))</f>
        <v/>
      </c>
    </row>
    <row r="242" customFormat="false" ht="15" hidden="false" customHeight="false" outlineLevel="0" collapsed="false">
      <c r="A242" s="25"/>
      <c r="B242" s="19"/>
      <c r="C242" s="19"/>
      <c r="D242" s="26"/>
      <c r="E242" s="27" t="str">
        <f aca="false">IF($B242="","",IFERROR(INDEX(Products!$B$2:$B$201,MATCH($B242,Products!$A$2:$A$201,0)),"Unknown code"))</f>
        <v/>
      </c>
      <c r="F242" s="22" t="str">
        <f aca="false">IF($B242="","",IFERROR(INDEX(Products!$C$2:$C$201,MATCH($B242,Products!$A$2:$A$201,0)),""))</f>
        <v/>
      </c>
      <c r="G242" s="17" t="str">
        <f aca="false">IF($B242="","",IFERROR(INDEX(Products!$D$2:$D$201,MATCH($B242,Products!$A$2:$A$201,0)),0))</f>
        <v/>
      </c>
      <c r="H242" s="17" t="str">
        <f aca="false">IF($B242="","",C242*G242*(1-D242))</f>
        <v/>
      </c>
      <c r="I242" s="17" t="str">
        <f aca="false">IF($B242="","",C242*IFERROR(INDEX(Products!$E$2:$E$201,MATCH($B242,Products!$A$2:$A$201,0)),0))</f>
        <v/>
      </c>
      <c r="J242" s="17" t="str">
        <f aca="false">IF($B242="","",H242-I242)</f>
        <v/>
      </c>
      <c r="K242" s="16" t="str">
        <f aca="false">IF($A242="","",DATE(YEAR($A242),MONTH($A242),1))</f>
        <v/>
      </c>
    </row>
    <row r="243" customFormat="false" ht="15" hidden="false" customHeight="false" outlineLevel="0" collapsed="false">
      <c r="A243" s="25"/>
      <c r="B243" s="19"/>
      <c r="C243" s="19"/>
      <c r="D243" s="26"/>
      <c r="E243" s="27" t="str">
        <f aca="false">IF($B243="","",IFERROR(INDEX(Products!$B$2:$B$201,MATCH($B243,Products!$A$2:$A$201,0)),"Unknown code"))</f>
        <v/>
      </c>
      <c r="F243" s="22" t="str">
        <f aca="false">IF($B243="","",IFERROR(INDEX(Products!$C$2:$C$201,MATCH($B243,Products!$A$2:$A$201,0)),""))</f>
        <v/>
      </c>
      <c r="G243" s="17" t="str">
        <f aca="false">IF($B243="","",IFERROR(INDEX(Products!$D$2:$D$201,MATCH($B243,Products!$A$2:$A$201,0)),0))</f>
        <v/>
      </c>
      <c r="H243" s="17" t="str">
        <f aca="false">IF($B243="","",C243*G243*(1-D243))</f>
        <v/>
      </c>
      <c r="I243" s="17" t="str">
        <f aca="false">IF($B243="","",C243*IFERROR(INDEX(Products!$E$2:$E$201,MATCH($B243,Products!$A$2:$A$201,0)),0))</f>
        <v/>
      </c>
      <c r="J243" s="17" t="str">
        <f aca="false">IF($B243="","",H243-I243)</f>
        <v/>
      </c>
      <c r="K243" s="16" t="str">
        <f aca="false">IF($A243="","",DATE(YEAR($A243),MONTH($A243),1))</f>
        <v/>
      </c>
    </row>
    <row r="244" customFormat="false" ht="15" hidden="false" customHeight="false" outlineLevel="0" collapsed="false">
      <c r="A244" s="25"/>
      <c r="B244" s="19"/>
      <c r="C244" s="19"/>
      <c r="D244" s="26"/>
      <c r="E244" s="27" t="str">
        <f aca="false">IF($B244="","",IFERROR(INDEX(Products!$B$2:$B$201,MATCH($B244,Products!$A$2:$A$201,0)),"Unknown code"))</f>
        <v/>
      </c>
      <c r="F244" s="22" t="str">
        <f aca="false">IF($B244="","",IFERROR(INDEX(Products!$C$2:$C$201,MATCH($B244,Products!$A$2:$A$201,0)),""))</f>
        <v/>
      </c>
      <c r="G244" s="17" t="str">
        <f aca="false">IF($B244="","",IFERROR(INDEX(Products!$D$2:$D$201,MATCH($B244,Products!$A$2:$A$201,0)),0))</f>
        <v/>
      </c>
      <c r="H244" s="17" t="str">
        <f aca="false">IF($B244="","",C244*G244*(1-D244))</f>
        <v/>
      </c>
      <c r="I244" s="17" t="str">
        <f aca="false">IF($B244="","",C244*IFERROR(INDEX(Products!$E$2:$E$201,MATCH($B244,Products!$A$2:$A$201,0)),0))</f>
        <v/>
      </c>
      <c r="J244" s="17" t="str">
        <f aca="false">IF($B244="","",H244-I244)</f>
        <v/>
      </c>
      <c r="K244" s="16" t="str">
        <f aca="false">IF($A244="","",DATE(YEAR($A244),MONTH($A244),1))</f>
        <v/>
      </c>
    </row>
    <row r="245" customFormat="false" ht="15" hidden="false" customHeight="false" outlineLevel="0" collapsed="false">
      <c r="A245" s="25"/>
      <c r="B245" s="19"/>
      <c r="C245" s="19"/>
      <c r="D245" s="26"/>
      <c r="E245" s="27" t="str">
        <f aca="false">IF($B245="","",IFERROR(INDEX(Products!$B$2:$B$201,MATCH($B245,Products!$A$2:$A$201,0)),"Unknown code"))</f>
        <v/>
      </c>
      <c r="F245" s="22" t="str">
        <f aca="false">IF($B245="","",IFERROR(INDEX(Products!$C$2:$C$201,MATCH($B245,Products!$A$2:$A$201,0)),""))</f>
        <v/>
      </c>
      <c r="G245" s="17" t="str">
        <f aca="false">IF($B245="","",IFERROR(INDEX(Products!$D$2:$D$201,MATCH($B245,Products!$A$2:$A$201,0)),0))</f>
        <v/>
      </c>
      <c r="H245" s="17" t="str">
        <f aca="false">IF($B245="","",C245*G245*(1-D245))</f>
        <v/>
      </c>
      <c r="I245" s="17" t="str">
        <f aca="false">IF($B245="","",C245*IFERROR(INDEX(Products!$E$2:$E$201,MATCH($B245,Products!$A$2:$A$201,0)),0))</f>
        <v/>
      </c>
      <c r="J245" s="17" t="str">
        <f aca="false">IF($B245="","",H245-I245)</f>
        <v/>
      </c>
      <c r="K245" s="16" t="str">
        <f aca="false">IF($A245="","",DATE(YEAR($A245),MONTH($A245),1))</f>
        <v/>
      </c>
    </row>
    <row r="246" customFormat="false" ht="15" hidden="false" customHeight="false" outlineLevel="0" collapsed="false">
      <c r="A246" s="25"/>
      <c r="B246" s="19"/>
      <c r="C246" s="19"/>
      <c r="D246" s="26"/>
      <c r="E246" s="27" t="str">
        <f aca="false">IF($B246="","",IFERROR(INDEX(Products!$B$2:$B$201,MATCH($B246,Products!$A$2:$A$201,0)),"Unknown code"))</f>
        <v/>
      </c>
      <c r="F246" s="22" t="str">
        <f aca="false">IF($B246="","",IFERROR(INDEX(Products!$C$2:$C$201,MATCH($B246,Products!$A$2:$A$201,0)),""))</f>
        <v/>
      </c>
      <c r="G246" s="17" t="str">
        <f aca="false">IF($B246="","",IFERROR(INDEX(Products!$D$2:$D$201,MATCH($B246,Products!$A$2:$A$201,0)),0))</f>
        <v/>
      </c>
      <c r="H246" s="17" t="str">
        <f aca="false">IF($B246="","",C246*G246*(1-D246))</f>
        <v/>
      </c>
      <c r="I246" s="17" t="str">
        <f aca="false">IF($B246="","",C246*IFERROR(INDEX(Products!$E$2:$E$201,MATCH($B246,Products!$A$2:$A$201,0)),0))</f>
        <v/>
      </c>
      <c r="J246" s="17" t="str">
        <f aca="false">IF($B246="","",H246-I246)</f>
        <v/>
      </c>
      <c r="K246" s="16" t="str">
        <f aca="false">IF($A246="","",DATE(YEAR($A246),MONTH($A246),1))</f>
        <v/>
      </c>
    </row>
    <row r="247" customFormat="false" ht="15" hidden="false" customHeight="false" outlineLevel="0" collapsed="false">
      <c r="A247" s="25"/>
      <c r="B247" s="19"/>
      <c r="C247" s="19"/>
      <c r="D247" s="26"/>
      <c r="E247" s="27" t="str">
        <f aca="false">IF($B247="","",IFERROR(INDEX(Products!$B$2:$B$201,MATCH($B247,Products!$A$2:$A$201,0)),"Unknown code"))</f>
        <v/>
      </c>
      <c r="F247" s="22" t="str">
        <f aca="false">IF($B247="","",IFERROR(INDEX(Products!$C$2:$C$201,MATCH($B247,Products!$A$2:$A$201,0)),""))</f>
        <v/>
      </c>
      <c r="G247" s="17" t="str">
        <f aca="false">IF($B247="","",IFERROR(INDEX(Products!$D$2:$D$201,MATCH($B247,Products!$A$2:$A$201,0)),0))</f>
        <v/>
      </c>
      <c r="H247" s="17" t="str">
        <f aca="false">IF($B247="","",C247*G247*(1-D247))</f>
        <v/>
      </c>
      <c r="I247" s="17" t="str">
        <f aca="false">IF($B247="","",C247*IFERROR(INDEX(Products!$E$2:$E$201,MATCH($B247,Products!$A$2:$A$201,0)),0))</f>
        <v/>
      </c>
      <c r="J247" s="17" t="str">
        <f aca="false">IF($B247="","",H247-I247)</f>
        <v/>
      </c>
      <c r="K247" s="16" t="str">
        <f aca="false">IF($A247="","",DATE(YEAR($A247),MONTH($A247),1))</f>
        <v/>
      </c>
    </row>
    <row r="248" customFormat="false" ht="15" hidden="false" customHeight="false" outlineLevel="0" collapsed="false">
      <c r="A248" s="25"/>
      <c r="B248" s="19"/>
      <c r="C248" s="19"/>
      <c r="D248" s="26"/>
      <c r="E248" s="27" t="str">
        <f aca="false">IF($B248="","",IFERROR(INDEX(Products!$B$2:$B$201,MATCH($B248,Products!$A$2:$A$201,0)),"Unknown code"))</f>
        <v/>
      </c>
      <c r="F248" s="22" t="str">
        <f aca="false">IF($B248="","",IFERROR(INDEX(Products!$C$2:$C$201,MATCH($B248,Products!$A$2:$A$201,0)),""))</f>
        <v/>
      </c>
      <c r="G248" s="17" t="str">
        <f aca="false">IF($B248="","",IFERROR(INDEX(Products!$D$2:$D$201,MATCH($B248,Products!$A$2:$A$201,0)),0))</f>
        <v/>
      </c>
      <c r="H248" s="17" t="str">
        <f aca="false">IF($B248="","",C248*G248*(1-D248))</f>
        <v/>
      </c>
      <c r="I248" s="17" t="str">
        <f aca="false">IF($B248="","",C248*IFERROR(INDEX(Products!$E$2:$E$201,MATCH($B248,Products!$A$2:$A$201,0)),0))</f>
        <v/>
      </c>
      <c r="J248" s="17" t="str">
        <f aca="false">IF($B248="","",H248-I248)</f>
        <v/>
      </c>
      <c r="K248" s="16" t="str">
        <f aca="false">IF($A248="","",DATE(YEAR($A248),MONTH($A248),1))</f>
        <v/>
      </c>
    </row>
    <row r="249" customFormat="false" ht="15" hidden="false" customHeight="false" outlineLevel="0" collapsed="false">
      <c r="A249" s="25"/>
      <c r="B249" s="19"/>
      <c r="C249" s="19"/>
      <c r="D249" s="26"/>
      <c r="E249" s="27" t="str">
        <f aca="false">IF($B249="","",IFERROR(INDEX(Products!$B$2:$B$201,MATCH($B249,Products!$A$2:$A$201,0)),"Unknown code"))</f>
        <v/>
      </c>
      <c r="F249" s="22" t="str">
        <f aca="false">IF($B249="","",IFERROR(INDEX(Products!$C$2:$C$201,MATCH($B249,Products!$A$2:$A$201,0)),""))</f>
        <v/>
      </c>
      <c r="G249" s="17" t="str">
        <f aca="false">IF($B249="","",IFERROR(INDEX(Products!$D$2:$D$201,MATCH($B249,Products!$A$2:$A$201,0)),0))</f>
        <v/>
      </c>
      <c r="H249" s="17" t="str">
        <f aca="false">IF($B249="","",C249*G249*(1-D249))</f>
        <v/>
      </c>
      <c r="I249" s="17" t="str">
        <f aca="false">IF($B249="","",C249*IFERROR(INDEX(Products!$E$2:$E$201,MATCH($B249,Products!$A$2:$A$201,0)),0))</f>
        <v/>
      </c>
      <c r="J249" s="17" t="str">
        <f aca="false">IF($B249="","",H249-I249)</f>
        <v/>
      </c>
      <c r="K249" s="16" t="str">
        <f aca="false">IF($A249="","",DATE(YEAR($A249),MONTH($A249),1))</f>
        <v/>
      </c>
    </row>
    <row r="250" customFormat="false" ht="15" hidden="false" customHeight="false" outlineLevel="0" collapsed="false">
      <c r="A250" s="25"/>
      <c r="B250" s="19"/>
      <c r="C250" s="19"/>
      <c r="D250" s="26"/>
      <c r="E250" s="27" t="str">
        <f aca="false">IF($B250="","",IFERROR(INDEX(Products!$B$2:$B$201,MATCH($B250,Products!$A$2:$A$201,0)),"Unknown code"))</f>
        <v/>
      </c>
      <c r="F250" s="22" t="str">
        <f aca="false">IF($B250="","",IFERROR(INDEX(Products!$C$2:$C$201,MATCH($B250,Products!$A$2:$A$201,0)),""))</f>
        <v/>
      </c>
      <c r="G250" s="17" t="str">
        <f aca="false">IF($B250="","",IFERROR(INDEX(Products!$D$2:$D$201,MATCH($B250,Products!$A$2:$A$201,0)),0))</f>
        <v/>
      </c>
      <c r="H250" s="17" t="str">
        <f aca="false">IF($B250="","",C250*G250*(1-D250))</f>
        <v/>
      </c>
      <c r="I250" s="17" t="str">
        <f aca="false">IF($B250="","",C250*IFERROR(INDEX(Products!$E$2:$E$201,MATCH($B250,Products!$A$2:$A$201,0)),0))</f>
        <v/>
      </c>
      <c r="J250" s="17" t="str">
        <f aca="false">IF($B250="","",H250-I250)</f>
        <v/>
      </c>
      <c r="K250" s="16" t="str">
        <f aca="false">IF($A250="","",DATE(YEAR($A250),MONTH($A250),1))</f>
        <v/>
      </c>
    </row>
    <row r="251" customFormat="false" ht="15" hidden="false" customHeight="false" outlineLevel="0" collapsed="false">
      <c r="A251" s="25"/>
      <c r="B251" s="19"/>
      <c r="C251" s="19"/>
      <c r="D251" s="26"/>
      <c r="E251" s="27" t="str">
        <f aca="false">IF($B251="","",IFERROR(INDEX(Products!$B$2:$B$201,MATCH($B251,Products!$A$2:$A$201,0)),"Unknown code"))</f>
        <v/>
      </c>
      <c r="F251" s="22" t="str">
        <f aca="false">IF($B251="","",IFERROR(INDEX(Products!$C$2:$C$201,MATCH($B251,Products!$A$2:$A$201,0)),""))</f>
        <v/>
      </c>
      <c r="G251" s="17" t="str">
        <f aca="false">IF($B251="","",IFERROR(INDEX(Products!$D$2:$D$201,MATCH($B251,Products!$A$2:$A$201,0)),0))</f>
        <v/>
      </c>
      <c r="H251" s="17" t="str">
        <f aca="false">IF($B251="","",C251*G251*(1-D251))</f>
        <v/>
      </c>
      <c r="I251" s="17" t="str">
        <f aca="false">IF($B251="","",C251*IFERROR(INDEX(Products!$E$2:$E$201,MATCH($B251,Products!$A$2:$A$201,0)),0))</f>
        <v/>
      </c>
      <c r="J251" s="17" t="str">
        <f aca="false">IF($B251="","",H251-I251)</f>
        <v/>
      </c>
      <c r="K251" s="16" t="str">
        <f aca="false">IF($A251="","",DATE(YEAR($A251),MONTH($A251),1))</f>
        <v/>
      </c>
    </row>
    <row r="252" customFormat="false" ht="15" hidden="false" customHeight="false" outlineLevel="0" collapsed="false">
      <c r="A252" s="25"/>
      <c r="B252" s="19"/>
      <c r="C252" s="19"/>
      <c r="D252" s="26"/>
      <c r="E252" s="27" t="str">
        <f aca="false">IF($B252="","",IFERROR(INDEX(Products!$B$2:$B$201,MATCH($B252,Products!$A$2:$A$201,0)),"Unknown code"))</f>
        <v/>
      </c>
      <c r="F252" s="22" t="str">
        <f aca="false">IF($B252="","",IFERROR(INDEX(Products!$C$2:$C$201,MATCH($B252,Products!$A$2:$A$201,0)),""))</f>
        <v/>
      </c>
      <c r="G252" s="17" t="str">
        <f aca="false">IF($B252="","",IFERROR(INDEX(Products!$D$2:$D$201,MATCH($B252,Products!$A$2:$A$201,0)),0))</f>
        <v/>
      </c>
      <c r="H252" s="17" t="str">
        <f aca="false">IF($B252="","",C252*G252*(1-D252))</f>
        <v/>
      </c>
      <c r="I252" s="17" t="str">
        <f aca="false">IF($B252="","",C252*IFERROR(INDEX(Products!$E$2:$E$201,MATCH($B252,Products!$A$2:$A$201,0)),0))</f>
        <v/>
      </c>
      <c r="J252" s="17" t="str">
        <f aca="false">IF($B252="","",H252-I252)</f>
        <v/>
      </c>
      <c r="K252" s="16" t="str">
        <f aca="false">IF($A252="","",DATE(YEAR($A252),MONTH($A252),1))</f>
        <v/>
      </c>
    </row>
    <row r="253" customFormat="false" ht="15" hidden="false" customHeight="false" outlineLevel="0" collapsed="false">
      <c r="A253" s="25"/>
      <c r="B253" s="19"/>
      <c r="C253" s="19"/>
      <c r="D253" s="26"/>
      <c r="E253" s="27" t="str">
        <f aca="false">IF($B253="","",IFERROR(INDEX(Products!$B$2:$B$201,MATCH($B253,Products!$A$2:$A$201,0)),"Unknown code"))</f>
        <v/>
      </c>
      <c r="F253" s="22" t="str">
        <f aca="false">IF($B253="","",IFERROR(INDEX(Products!$C$2:$C$201,MATCH($B253,Products!$A$2:$A$201,0)),""))</f>
        <v/>
      </c>
      <c r="G253" s="17" t="str">
        <f aca="false">IF($B253="","",IFERROR(INDEX(Products!$D$2:$D$201,MATCH($B253,Products!$A$2:$A$201,0)),0))</f>
        <v/>
      </c>
      <c r="H253" s="17" t="str">
        <f aca="false">IF($B253="","",C253*G253*(1-D253))</f>
        <v/>
      </c>
      <c r="I253" s="17" t="str">
        <f aca="false">IF($B253="","",C253*IFERROR(INDEX(Products!$E$2:$E$201,MATCH($B253,Products!$A$2:$A$201,0)),0))</f>
        <v/>
      </c>
      <c r="J253" s="17" t="str">
        <f aca="false">IF($B253="","",H253-I253)</f>
        <v/>
      </c>
      <c r="K253" s="16" t="str">
        <f aca="false">IF($A253="","",DATE(YEAR($A253),MONTH($A253),1))</f>
        <v/>
      </c>
    </row>
    <row r="254" customFormat="false" ht="15" hidden="false" customHeight="false" outlineLevel="0" collapsed="false">
      <c r="A254" s="25"/>
      <c r="B254" s="19"/>
      <c r="C254" s="19"/>
      <c r="D254" s="26"/>
      <c r="E254" s="27" t="str">
        <f aca="false">IF($B254="","",IFERROR(INDEX(Products!$B$2:$B$201,MATCH($B254,Products!$A$2:$A$201,0)),"Unknown code"))</f>
        <v/>
      </c>
      <c r="F254" s="22" t="str">
        <f aca="false">IF($B254="","",IFERROR(INDEX(Products!$C$2:$C$201,MATCH($B254,Products!$A$2:$A$201,0)),""))</f>
        <v/>
      </c>
      <c r="G254" s="17" t="str">
        <f aca="false">IF($B254="","",IFERROR(INDEX(Products!$D$2:$D$201,MATCH($B254,Products!$A$2:$A$201,0)),0))</f>
        <v/>
      </c>
      <c r="H254" s="17" t="str">
        <f aca="false">IF($B254="","",C254*G254*(1-D254))</f>
        <v/>
      </c>
      <c r="I254" s="17" t="str">
        <f aca="false">IF($B254="","",C254*IFERROR(INDEX(Products!$E$2:$E$201,MATCH($B254,Products!$A$2:$A$201,0)),0))</f>
        <v/>
      </c>
      <c r="J254" s="17" t="str">
        <f aca="false">IF($B254="","",H254-I254)</f>
        <v/>
      </c>
      <c r="K254" s="16" t="str">
        <f aca="false">IF($A254="","",DATE(YEAR($A254),MONTH($A254),1))</f>
        <v/>
      </c>
    </row>
    <row r="255" customFormat="false" ht="15" hidden="false" customHeight="false" outlineLevel="0" collapsed="false">
      <c r="A255" s="25"/>
      <c r="B255" s="19"/>
      <c r="C255" s="19"/>
      <c r="D255" s="26"/>
      <c r="E255" s="27" t="str">
        <f aca="false">IF($B255="","",IFERROR(INDEX(Products!$B$2:$B$201,MATCH($B255,Products!$A$2:$A$201,0)),"Unknown code"))</f>
        <v/>
      </c>
      <c r="F255" s="22" t="str">
        <f aca="false">IF($B255="","",IFERROR(INDEX(Products!$C$2:$C$201,MATCH($B255,Products!$A$2:$A$201,0)),""))</f>
        <v/>
      </c>
      <c r="G255" s="17" t="str">
        <f aca="false">IF($B255="","",IFERROR(INDEX(Products!$D$2:$D$201,MATCH($B255,Products!$A$2:$A$201,0)),0))</f>
        <v/>
      </c>
      <c r="H255" s="17" t="str">
        <f aca="false">IF($B255="","",C255*G255*(1-D255))</f>
        <v/>
      </c>
      <c r="I255" s="17" t="str">
        <f aca="false">IF($B255="","",C255*IFERROR(INDEX(Products!$E$2:$E$201,MATCH($B255,Products!$A$2:$A$201,0)),0))</f>
        <v/>
      </c>
      <c r="J255" s="17" t="str">
        <f aca="false">IF($B255="","",H255-I255)</f>
        <v/>
      </c>
      <c r="K255" s="16" t="str">
        <f aca="false">IF($A255="","",DATE(YEAR($A255),MONTH($A255),1))</f>
        <v/>
      </c>
    </row>
    <row r="256" customFormat="false" ht="15" hidden="false" customHeight="false" outlineLevel="0" collapsed="false">
      <c r="A256" s="25"/>
      <c r="B256" s="19"/>
      <c r="C256" s="19"/>
      <c r="D256" s="26"/>
      <c r="E256" s="27" t="str">
        <f aca="false">IF($B256="","",IFERROR(INDEX(Products!$B$2:$B$201,MATCH($B256,Products!$A$2:$A$201,0)),"Unknown code"))</f>
        <v/>
      </c>
      <c r="F256" s="22" t="str">
        <f aca="false">IF($B256="","",IFERROR(INDEX(Products!$C$2:$C$201,MATCH($B256,Products!$A$2:$A$201,0)),""))</f>
        <v/>
      </c>
      <c r="G256" s="17" t="str">
        <f aca="false">IF($B256="","",IFERROR(INDEX(Products!$D$2:$D$201,MATCH($B256,Products!$A$2:$A$201,0)),0))</f>
        <v/>
      </c>
      <c r="H256" s="17" t="str">
        <f aca="false">IF($B256="","",C256*G256*(1-D256))</f>
        <v/>
      </c>
      <c r="I256" s="17" t="str">
        <f aca="false">IF($B256="","",C256*IFERROR(INDEX(Products!$E$2:$E$201,MATCH($B256,Products!$A$2:$A$201,0)),0))</f>
        <v/>
      </c>
      <c r="J256" s="17" t="str">
        <f aca="false">IF($B256="","",H256-I256)</f>
        <v/>
      </c>
      <c r="K256" s="16" t="str">
        <f aca="false">IF($A256="","",DATE(YEAR($A256),MONTH($A256),1))</f>
        <v/>
      </c>
    </row>
    <row r="257" customFormat="false" ht="15" hidden="false" customHeight="false" outlineLevel="0" collapsed="false">
      <c r="A257" s="25"/>
      <c r="B257" s="19"/>
      <c r="C257" s="19"/>
      <c r="D257" s="26"/>
      <c r="E257" s="27" t="str">
        <f aca="false">IF($B257="","",IFERROR(INDEX(Products!$B$2:$B$201,MATCH($B257,Products!$A$2:$A$201,0)),"Unknown code"))</f>
        <v/>
      </c>
      <c r="F257" s="22" t="str">
        <f aca="false">IF($B257="","",IFERROR(INDEX(Products!$C$2:$C$201,MATCH($B257,Products!$A$2:$A$201,0)),""))</f>
        <v/>
      </c>
      <c r="G257" s="17" t="str">
        <f aca="false">IF($B257="","",IFERROR(INDEX(Products!$D$2:$D$201,MATCH($B257,Products!$A$2:$A$201,0)),0))</f>
        <v/>
      </c>
      <c r="H257" s="17" t="str">
        <f aca="false">IF($B257="","",C257*G257*(1-D257))</f>
        <v/>
      </c>
      <c r="I257" s="17" t="str">
        <f aca="false">IF($B257="","",C257*IFERROR(INDEX(Products!$E$2:$E$201,MATCH($B257,Products!$A$2:$A$201,0)),0))</f>
        <v/>
      </c>
      <c r="J257" s="17" t="str">
        <f aca="false">IF($B257="","",H257-I257)</f>
        <v/>
      </c>
      <c r="K257" s="16" t="str">
        <f aca="false">IF($A257="","",DATE(YEAR($A257),MONTH($A257),1))</f>
        <v/>
      </c>
    </row>
    <row r="258" customFormat="false" ht="15" hidden="false" customHeight="false" outlineLevel="0" collapsed="false">
      <c r="A258" s="25"/>
      <c r="B258" s="19"/>
      <c r="C258" s="19"/>
      <c r="D258" s="26"/>
      <c r="E258" s="27" t="str">
        <f aca="false">IF($B258="","",IFERROR(INDEX(Products!$B$2:$B$201,MATCH($B258,Products!$A$2:$A$201,0)),"Unknown code"))</f>
        <v/>
      </c>
      <c r="F258" s="22" t="str">
        <f aca="false">IF($B258="","",IFERROR(INDEX(Products!$C$2:$C$201,MATCH($B258,Products!$A$2:$A$201,0)),""))</f>
        <v/>
      </c>
      <c r="G258" s="17" t="str">
        <f aca="false">IF($B258="","",IFERROR(INDEX(Products!$D$2:$D$201,MATCH($B258,Products!$A$2:$A$201,0)),0))</f>
        <v/>
      </c>
      <c r="H258" s="17" t="str">
        <f aca="false">IF($B258="","",C258*G258*(1-D258))</f>
        <v/>
      </c>
      <c r="I258" s="17" t="str">
        <f aca="false">IF($B258="","",C258*IFERROR(INDEX(Products!$E$2:$E$201,MATCH($B258,Products!$A$2:$A$201,0)),0))</f>
        <v/>
      </c>
      <c r="J258" s="17" t="str">
        <f aca="false">IF($B258="","",H258-I258)</f>
        <v/>
      </c>
      <c r="K258" s="16" t="str">
        <f aca="false">IF($A258="","",DATE(YEAR($A258),MONTH($A258),1))</f>
        <v/>
      </c>
    </row>
    <row r="259" customFormat="false" ht="15" hidden="false" customHeight="false" outlineLevel="0" collapsed="false">
      <c r="A259" s="25"/>
      <c r="B259" s="19"/>
      <c r="C259" s="19"/>
      <c r="D259" s="26"/>
      <c r="E259" s="27" t="str">
        <f aca="false">IF($B259="","",IFERROR(INDEX(Products!$B$2:$B$201,MATCH($B259,Products!$A$2:$A$201,0)),"Unknown code"))</f>
        <v/>
      </c>
      <c r="F259" s="22" t="str">
        <f aca="false">IF($B259="","",IFERROR(INDEX(Products!$C$2:$C$201,MATCH($B259,Products!$A$2:$A$201,0)),""))</f>
        <v/>
      </c>
      <c r="G259" s="17" t="str">
        <f aca="false">IF($B259="","",IFERROR(INDEX(Products!$D$2:$D$201,MATCH($B259,Products!$A$2:$A$201,0)),0))</f>
        <v/>
      </c>
      <c r="H259" s="17" t="str">
        <f aca="false">IF($B259="","",C259*G259*(1-D259))</f>
        <v/>
      </c>
      <c r="I259" s="17" t="str">
        <f aca="false">IF($B259="","",C259*IFERROR(INDEX(Products!$E$2:$E$201,MATCH($B259,Products!$A$2:$A$201,0)),0))</f>
        <v/>
      </c>
      <c r="J259" s="17" t="str">
        <f aca="false">IF($B259="","",H259-I259)</f>
        <v/>
      </c>
      <c r="K259" s="16" t="str">
        <f aca="false">IF($A259="","",DATE(YEAR($A259),MONTH($A259),1))</f>
        <v/>
      </c>
    </row>
    <row r="260" customFormat="false" ht="15" hidden="false" customHeight="false" outlineLevel="0" collapsed="false">
      <c r="A260" s="25"/>
      <c r="B260" s="19"/>
      <c r="C260" s="19"/>
      <c r="D260" s="26"/>
      <c r="E260" s="27" t="str">
        <f aca="false">IF($B260="","",IFERROR(INDEX(Products!$B$2:$B$201,MATCH($B260,Products!$A$2:$A$201,0)),"Unknown code"))</f>
        <v/>
      </c>
      <c r="F260" s="22" t="str">
        <f aca="false">IF($B260="","",IFERROR(INDEX(Products!$C$2:$C$201,MATCH($B260,Products!$A$2:$A$201,0)),""))</f>
        <v/>
      </c>
      <c r="G260" s="17" t="str">
        <f aca="false">IF($B260="","",IFERROR(INDEX(Products!$D$2:$D$201,MATCH($B260,Products!$A$2:$A$201,0)),0))</f>
        <v/>
      </c>
      <c r="H260" s="17" t="str">
        <f aca="false">IF($B260="","",C260*G260*(1-D260))</f>
        <v/>
      </c>
      <c r="I260" s="17" t="str">
        <f aca="false">IF($B260="","",C260*IFERROR(INDEX(Products!$E$2:$E$201,MATCH($B260,Products!$A$2:$A$201,0)),0))</f>
        <v/>
      </c>
      <c r="J260" s="17" t="str">
        <f aca="false">IF($B260="","",H260-I260)</f>
        <v/>
      </c>
      <c r="K260" s="16" t="str">
        <f aca="false">IF($A260="","",DATE(YEAR($A260),MONTH($A260),1))</f>
        <v/>
      </c>
    </row>
    <row r="261" customFormat="false" ht="15" hidden="false" customHeight="false" outlineLevel="0" collapsed="false">
      <c r="A261" s="25"/>
      <c r="B261" s="19"/>
      <c r="C261" s="19"/>
      <c r="D261" s="26"/>
      <c r="E261" s="27" t="str">
        <f aca="false">IF($B261="","",IFERROR(INDEX(Products!$B$2:$B$201,MATCH($B261,Products!$A$2:$A$201,0)),"Unknown code"))</f>
        <v/>
      </c>
      <c r="F261" s="22" t="str">
        <f aca="false">IF($B261="","",IFERROR(INDEX(Products!$C$2:$C$201,MATCH($B261,Products!$A$2:$A$201,0)),""))</f>
        <v/>
      </c>
      <c r="G261" s="17" t="str">
        <f aca="false">IF($B261="","",IFERROR(INDEX(Products!$D$2:$D$201,MATCH($B261,Products!$A$2:$A$201,0)),0))</f>
        <v/>
      </c>
      <c r="H261" s="17" t="str">
        <f aca="false">IF($B261="","",C261*G261*(1-D261))</f>
        <v/>
      </c>
      <c r="I261" s="17" t="str">
        <f aca="false">IF($B261="","",C261*IFERROR(INDEX(Products!$E$2:$E$201,MATCH($B261,Products!$A$2:$A$201,0)),0))</f>
        <v/>
      </c>
      <c r="J261" s="17" t="str">
        <f aca="false">IF($B261="","",H261-I261)</f>
        <v/>
      </c>
      <c r="K261" s="16" t="str">
        <f aca="false">IF($A261="","",DATE(YEAR($A261),MONTH($A261),1))</f>
        <v/>
      </c>
    </row>
    <row r="262" customFormat="false" ht="15" hidden="false" customHeight="false" outlineLevel="0" collapsed="false">
      <c r="A262" s="25"/>
      <c r="B262" s="19"/>
      <c r="C262" s="19"/>
      <c r="D262" s="26"/>
      <c r="E262" s="27" t="str">
        <f aca="false">IF($B262="","",IFERROR(INDEX(Products!$B$2:$B$201,MATCH($B262,Products!$A$2:$A$201,0)),"Unknown code"))</f>
        <v/>
      </c>
      <c r="F262" s="22" t="str">
        <f aca="false">IF($B262="","",IFERROR(INDEX(Products!$C$2:$C$201,MATCH($B262,Products!$A$2:$A$201,0)),""))</f>
        <v/>
      </c>
      <c r="G262" s="17" t="str">
        <f aca="false">IF($B262="","",IFERROR(INDEX(Products!$D$2:$D$201,MATCH($B262,Products!$A$2:$A$201,0)),0))</f>
        <v/>
      </c>
      <c r="H262" s="17" t="str">
        <f aca="false">IF($B262="","",C262*G262*(1-D262))</f>
        <v/>
      </c>
      <c r="I262" s="17" t="str">
        <f aca="false">IF($B262="","",C262*IFERROR(INDEX(Products!$E$2:$E$201,MATCH($B262,Products!$A$2:$A$201,0)),0))</f>
        <v/>
      </c>
      <c r="J262" s="17" t="str">
        <f aca="false">IF($B262="","",H262-I262)</f>
        <v/>
      </c>
      <c r="K262" s="16" t="str">
        <f aca="false">IF($A262="","",DATE(YEAR($A262),MONTH($A262),1))</f>
        <v/>
      </c>
    </row>
    <row r="263" customFormat="false" ht="15" hidden="false" customHeight="false" outlineLevel="0" collapsed="false">
      <c r="A263" s="25"/>
      <c r="B263" s="19"/>
      <c r="C263" s="19"/>
      <c r="D263" s="26"/>
      <c r="E263" s="27" t="str">
        <f aca="false">IF($B263="","",IFERROR(INDEX(Products!$B$2:$B$201,MATCH($B263,Products!$A$2:$A$201,0)),"Unknown code"))</f>
        <v/>
      </c>
      <c r="F263" s="22" t="str">
        <f aca="false">IF($B263="","",IFERROR(INDEX(Products!$C$2:$C$201,MATCH($B263,Products!$A$2:$A$201,0)),""))</f>
        <v/>
      </c>
      <c r="G263" s="17" t="str">
        <f aca="false">IF($B263="","",IFERROR(INDEX(Products!$D$2:$D$201,MATCH($B263,Products!$A$2:$A$201,0)),0))</f>
        <v/>
      </c>
      <c r="H263" s="17" t="str">
        <f aca="false">IF($B263="","",C263*G263*(1-D263))</f>
        <v/>
      </c>
      <c r="I263" s="17" t="str">
        <f aca="false">IF($B263="","",C263*IFERROR(INDEX(Products!$E$2:$E$201,MATCH($B263,Products!$A$2:$A$201,0)),0))</f>
        <v/>
      </c>
      <c r="J263" s="17" t="str">
        <f aca="false">IF($B263="","",H263-I263)</f>
        <v/>
      </c>
      <c r="K263" s="16" t="str">
        <f aca="false">IF($A263="","",DATE(YEAR($A263),MONTH($A263),1))</f>
        <v/>
      </c>
    </row>
    <row r="264" customFormat="false" ht="15" hidden="false" customHeight="false" outlineLevel="0" collapsed="false">
      <c r="A264" s="25"/>
      <c r="B264" s="19"/>
      <c r="C264" s="19"/>
      <c r="D264" s="26"/>
      <c r="E264" s="27" t="str">
        <f aca="false">IF($B264="","",IFERROR(INDEX(Products!$B$2:$B$201,MATCH($B264,Products!$A$2:$A$201,0)),"Unknown code"))</f>
        <v/>
      </c>
      <c r="F264" s="22" t="str">
        <f aca="false">IF($B264="","",IFERROR(INDEX(Products!$C$2:$C$201,MATCH($B264,Products!$A$2:$A$201,0)),""))</f>
        <v/>
      </c>
      <c r="G264" s="17" t="str">
        <f aca="false">IF($B264="","",IFERROR(INDEX(Products!$D$2:$D$201,MATCH($B264,Products!$A$2:$A$201,0)),0))</f>
        <v/>
      </c>
      <c r="H264" s="17" t="str">
        <f aca="false">IF($B264="","",C264*G264*(1-D264))</f>
        <v/>
      </c>
      <c r="I264" s="17" t="str">
        <f aca="false">IF($B264="","",C264*IFERROR(INDEX(Products!$E$2:$E$201,MATCH($B264,Products!$A$2:$A$201,0)),0))</f>
        <v/>
      </c>
      <c r="J264" s="17" t="str">
        <f aca="false">IF($B264="","",H264-I264)</f>
        <v/>
      </c>
      <c r="K264" s="16" t="str">
        <f aca="false">IF($A264="","",DATE(YEAR($A264),MONTH($A264),1))</f>
        <v/>
      </c>
    </row>
    <row r="265" customFormat="false" ht="15" hidden="false" customHeight="false" outlineLevel="0" collapsed="false">
      <c r="A265" s="25"/>
      <c r="B265" s="19"/>
      <c r="C265" s="19"/>
      <c r="D265" s="26"/>
      <c r="E265" s="27" t="str">
        <f aca="false">IF($B265="","",IFERROR(INDEX(Products!$B$2:$B$201,MATCH($B265,Products!$A$2:$A$201,0)),"Unknown code"))</f>
        <v/>
      </c>
      <c r="F265" s="22" t="str">
        <f aca="false">IF($B265="","",IFERROR(INDEX(Products!$C$2:$C$201,MATCH($B265,Products!$A$2:$A$201,0)),""))</f>
        <v/>
      </c>
      <c r="G265" s="17" t="str">
        <f aca="false">IF($B265="","",IFERROR(INDEX(Products!$D$2:$D$201,MATCH($B265,Products!$A$2:$A$201,0)),0))</f>
        <v/>
      </c>
      <c r="H265" s="17" t="str">
        <f aca="false">IF($B265="","",C265*G265*(1-D265))</f>
        <v/>
      </c>
      <c r="I265" s="17" t="str">
        <f aca="false">IF($B265="","",C265*IFERROR(INDEX(Products!$E$2:$E$201,MATCH($B265,Products!$A$2:$A$201,0)),0))</f>
        <v/>
      </c>
      <c r="J265" s="17" t="str">
        <f aca="false">IF($B265="","",H265-I265)</f>
        <v/>
      </c>
      <c r="K265" s="16" t="str">
        <f aca="false">IF($A265="","",DATE(YEAR($A265),MONTH($A265),1))</f>
        <v/>
      </c>
    </row>
    <row r="266" customFormat="false" ht="15" hidden="false" customHeight="false" outlineLevel="0" collapsed="false">
      <c r="A266" s="25"/>
      <c r="B266" s="19"/>
      <c r="C266" s="19"/>
      <c r="D266" s="26"/>
      <c r="E266" s="27" t="str">
        <f aca="false">IF($B266="","",IFERROR(INDEX(Products!$B$2:$B$201,MATCH($B266,Products!$A$2:$A$201,0)),"Unknown code"))</f>
        <v/>
      </c>
      <c r="F266" s="22" t="str">
        <f aca="false">IF($B266="","",IFERROR(INDEX(Products!$C$2:$C$201,MATCH($B266,Products!$A$2:$A$201,0)),""))</f>
        <v/>
      </c>
      <c r="G266" s="17" t="str">
        <f aca="false">IF($B266="","",IFERROR(INDEX(Products!$D$2:$D$201,MATCH($B266,Products!$A$2:$A$201,0)),0))</f>
        <v/>
      </c>
      <c r="H266" s="17" t="str">
        <f aca="false">IF($B266="","",C266*G266*(1-D266))</f>
        <v/>
      </c>
      <c r="I266" s="17" t="str">
        <f aca="false">IF($B266="","",C266*IFERROR(INDEX(Products!$E$2:$E$201,MATCH($B266,Products!$A$2:$A$201,0)),0))</f>
        <v/>
      </c>
      <c r="J266" s="17" t="str">
        <f aca="false">IF($B266="","",H266-I266)</f>
        <v/>
      </c>
      <c r="K266" s="16" t="str">
        <f aca="false">IF($A266="","",DATE(YEAR($A266),MONTH($A266),1))</f>
        <v/>
      </c>
    </row>
    <row r="267" customFormat="false" ht="15" hidden="false" customHeight="false" outlineLevel="0" collapsed="false">
      <c r="A267" s="25"/>
      <c r="B267" s="19"/>
      <c r="C267" s="19"/>
      <c r="D267" s="26"/>
      <c r="E267" s="27" t="str">
        <f aca="false">IF($B267="","",IFERROR(INDEX(Products!$B$2:$B$201,MATCH($B267,Products!$A$2:$A$201,0)),"Unknown code"))</f>
        <v/>
      </c>
      <c r="F267" s="22" t="str">
        <f aca="false">IF($B267="","",IFERROR(INDEX(Products!$C$2:$C$201,MATCH($B267,Products!$A$2:$A$201,0)),""))</f>
        <v/>
      </c>
      <c r="G267" s="17" t="str">
        <f aca="false">IF($B267="","",IFERROR(INDEX(Products!$D$2:$D$201,MATCH($B267,Products!$A$2:$A$201,0)),0))</f>
        <v/>
      </c>
      <c r="H267" s="17" t="str">
        <f aca="false">IF($B267="","",C267*G267*(1-D267))</f>
        <v/>
      </c>
      <c r="I267" s="17" t="str">
        <f aca="false">IF($B267="","",C267*IFERROR(INDEX(Products!$E$2:$E$201,MATCH($B267,Products!$A$2:$A$201,0)),0))</f>
        <v/>
      </c>
      <c r="J267" s="17" t="str">
        <f aca="false">IF($B267="","",H267-I267)</f>
        <v/>
      </c>
      <c r="K267" s="16" t="str">
        <f aca="false">IF($A267="","",DATE(YEAR($A267),MONTH($A267),1))</f>
        <v/>
      </c>
    </row>
    <row r="268" customFormat="false" ht="15" hidden="false" customHeight="false" outlineLevel="0" collapsed="false">
      <c r="A268" s="25"/>
      <c r="B268" s="19"/>
      <c r="C268" s="19"/>
      <c r="D268" s="26"/>
      <c r="E268" s="27" t="str">
        <f aca="false">IF($B268="","",IFERROR(INDEX(Products!$B$2:$B$201,MATCH($B268,Products!$A$2:$A$201,0)),"Unknown code"))</f>
        <v/>
      </c>
      <c r="F268" s="22" t="str">
        <f aca="false">IF($B268="","",IFERROR(INDEX(Products!$C$2:$C$201,MATCH($B268,Products!$A$2:$A$201,0)),""))</f>
        <v/>
      </c>
      <c r="G268" s="17" t="str">
        <f aca="false">IF($B268="","",IFERROR(INDEX(Products!$D$2:$D$201,MATCH($B268,Products!$A$2:$A$201,0)),0))</f>
        <v/>
      </c>
      <c r="H268" s="17" t="str">
        <f aca="false">IF($B268="","",C268*G268*(1-D268))</f>
        <v/>
      </c>
      <c r="I268" s="17" t="str">
        <f aca="false">IF($B268="","",C268*IFERROR(INDEX(Products!$E$2:$E$201,MATCH($B268,Products!$A$2:$A$201,0)),0))</f>
        <v/>
      </c>
      <c r="J268" s="17" t="str">
        <f aca="false">IF($B268="","",H268-I268)</f>
        <v/>
      </c>
      <c r="K268" s="16" t="str">
        <f aca="false">IF($A268="","",DATE(YEAR($A268),MONTH($A268),1))</f>
        <v/>
      </c>
    </row>
    <row r="269" customFormat="false" ht="15" hidden="false" customHeight="false" outlineLevel="0" collapsed="false">
      <c r="A269" s="25"/>
      <c r="B269" s="19"/>
      <c r="C269" s="19"/>
      <c r="D269" s="26"/>
      <c r="E269" s="27" t="str">
        <f aca="false">IF($B269="","",IFERROR(INDEX(Products!$B$2:$B$201,MATCH($B269,Products!$A$2:$A$201,0)),"Unknown code"))</f>
        <v/>
      </c>
      <c r="F269" s="22" t="str">
        <f aca="false">IF($B269="","",IFERROR(INDEX(Products!$C$2:$C$201,MATCH($B269,Products!$A$2:$A$201,0)),""))</f>
        <v/>
      </c>
      <c r="G269" s="17" t="str">
        <f aca="false">IF($B269="","",IFERROR(INDEX(Products!$D$2:$D$201,MATCH($B269,Products!$A$2:$A$201,0)),0))</f>
        <v/>
      </c>
      <c r="H269" s="17" t="str">
        <f aca="false">IF($B269="","",C269*G269*(1-D269))</f>
        <v/>
      </c>
      <c r="I269" s="17" t="str">
        <f aca="false">IF($B269="","",C269*IFERROR(INDEX(Products!$E$2:$E$201,MATCH($B269,Products!$A$2:$A$201,0)),0))</f>
        <v/>
      </c>
      <c r="J269" s="17" t="str">
        <f aca="false">IF($B269="","",H269-I269)</f>
        <v/>
      </c>
      <c r="K269" s="16" t="str">
        <f aca="false">IF($A269="","",DATE(YEAR($A269),MONTH($A269),1))</f>
        <v/>
      </c>
    </row>
    <row r="270" customFormat="false" ht="15" hidden="false" customHeight="false" outlineLevel="0" collapsed="false">
      <c r="A270" s="25"/>
      <c r="B270" s="19"/>
      <c r="C270" s="19"/>
      <c r="D270" s="26"/>
      <c r="E270" s="27" t="str">
        <f aca="false">IF($B270="","",IFERROR(INDEX(Products!$B$2:$B$201,MATCH($B270,Products!$A$2:$A$201,0)),"Unknown code"))</f>
        <v/>
      </c>
      <c r="F270" s="22" t="str">
        <f aca="false">IF($B270="","",IFERROR(INDEX(Products!$C$2:$C$201,MATCH($B270,Products!$A$2:$A$201,0)),""))</f>
        <v/>
      </c>
      <c r="G270" s="17" t="str">
        <f aca="false">IF($B270="","",IFERROR(INDEX(Products!$D$2:$D$201,MATCH($B270,Products!$A$2:$A$201,0)),0))</f>
        <v/>
      </c>
      <c r="H270" s="17" t="str">
        <f aca="false">IF($B270="","",C270*G270*(1-D270))</f>
        <v/>
      </c>
      <c r="I270" s="17" t="str">
        <f aca="false">IF($B270="","",C270*IFERROR(INDEX(Products!$E$2:$E$201,MATCH($B270,Products!$A$2:$A$201,0)),0))</f>
        <v/>
      </c>
      <c r="J270" s="17" t="str">
        <f aca="false">IF($B270="","",H270-I270)</f>
        <v/>
      </c>
      <c r="K270" s="16" t="str">
        <f aca="false">IF($A270="","",DATE(YEAR($A270),MONTH($A270),1))</f>
        <v/>
      </c>
    </row>
    <row r="271" customFormat="false" ht="15" hidden="false" customHeight="false" outlineLevel="0" collapsed="false">
      <c r="A271" s="25"/>
      <c r="B271" s="19"/>
      <c r="C271" s="19"/>
      <c r="D271" s="26"/>
      <c r="E271" s="27" t="str">
        <f aca="false">IF($B271="","",IFERROR(INDEX(Products!$B$2:$B$201,MATCH($B271,Products!$A$2:$A$201,0)),"Unknown code"))</f>
        <v/>
      </c>
      <c r="F271" s="22" t="str">
        <f aca="false">IF($B271="","",IFERROR(INDEX(Products!$C$2:$C$201,MATCH($B271,Products!$A$2:$A$201,0)),""))</f>
        <v/>
      </c>
      <c r="G271" s="17" t="str">
        <f aca="false">IF($B271="","",IFERROR(INDEX(Products!$D$2:$D$201,MATCH($B271,Products!$A$2:$A$201,0)),0))</f>
        <v/>
      </c>
      <c r="H271" s="17" t="str">
        <f aca="false">IF($B271="","",C271*G271*(1-D271))</f>
        <v/>
      </c>
      <c r="I271" s="17" t="str">
        <f aca="false">IF($B271="","",C271*IFERROR(INDEX(Products!$E$2:$E$201,MATCH($B271,Products!$A$2:$A$201,0)),0))</f>
        <v/>
      </c>
      <c r="J271" s="17" t="str">
        <f aca="false">IF($B271="","",H271-I271)</f>
        <v/>
      </c>
      <c r="K271" s="16" t="str">
        <f aca="false">IF($A271="","",DATE(YEAR($A271),MONTH($A271),1))</f>
        <v/>
      </c>
    </row>
    <row r="272" customFormat="false" ht="15" hidden="false" customHeight="false" outlineLevel="0" collapsed="false">
      <c r="A272" s="25"/>
      <c r="B272" s="19"/>
      <c r="C272" s="19"/>
      <c r="D272" s="26"/>
      <c r="E272" s="27" t="str">
        <f aca="false">IF($B272="","",IFERROR(INDEX(Products!$B$2:$B$201,MATCH($B272,Products!$A$2:$A$201,0)),"Unknown code"))</f>
        <v/>
      </c>
      <c r="F272" s="22" t="str">
        <f aca="false">IF($B272="","",IFERROR(INDEX(Products!$C$2:$C$201,MATCH($B272,Products!$A$2:$A$201,0)),""))</f>
        <v/>
      </c>
      <c r="G272" s="17" t="str">
        <f aca="false">IF($B272="","",IFERROR(INDEX(Products!$D$2:$D$201,MATCH($B272,Products!$A$2:$A$201,0)),0))</f>
        <v/>
      </c>
      <c r="H272" s="17" t="str">
        <f aca="false">IF($B272="","",C272*G272*(1-D272))</f>
        <v/>
      </c>
      <c r="I272" s="17" t="str">
        <f aca="false">IF($B272="","",C272*IFERROR(INDEX(Products!$E$2:$E$201,MATCH($B272,Products!$A$2:$A$201,0)),0))</f>
        <v/>
      </c>
      <c r="J272" s="17" t="str">
        <f aca="false">IF($B272="","",H272-I272)</f>
        <v/>
      </c>
      <c r="K272" s="16" t="str">
        <f aca="false">IF($A272="","",DATE(YEAR($A272),MONTH($A272),1))</f>
        <v/>
      </c>
    </row>
    <row r="273" customFormat="false" ht="15" hidden="false" customHeight="false" outlineLevel="0" collapsed="false">
      <c r="A273" s="25"/>
      <c r="B273" s="19"/>
      <c r="C273" s="19"/>
      <c r="D273" s="26"/>
      <c r="E273" s="27" t="str">
        <f aca="false">IF($B273="","",IFERROR(INDEX(Products!$B$2:$B$201,MATCH($B273,Products!$A$2:$A$201,0)),"Unknown code"))</f>
        <v/>
      </c>
      <c r="F273" s="22" t="str">
        <f aca="false">IF($B273="","",IFERROR(INDEX(Products!$C$2:$C$201,MATCH($B273,Products!$A$2:$A$201,0)),""))</f>
        <v/>
      </c>
      <c r="G273" s="17" t="str">
        <f aca="false">IF($B273="","",IFERROR(INDEX(Products!$D$2:$D$201,MATCH($B273,Products!$A$2:$A$201,0)),0))</f>
        <v/>
      </c>
      <c r="H273" s="17" t="str">
        <f aca="false">IF($B273="","",C273*G273*(1-D273))</f>
        <v/>
      </c>
      <c r="I273" s="17" t="str">
        <f aca="false">IF($B273="","",C273*IFERROR(INDEX(Products!$E$2:$E$201,MATCH($B273,Products!$A$2:$A$201,0)),0))</f>
        <v/>
      </c>
      <c r="J273" s="17" t="str">
        <f aca="false">IF($B273="","",H273-I273)</f>
        <v/>
      </c>
      <c r="K273" s="16" t="str">
        <f aca="false">IF($A273="","",DATE(YEAR($A273),MONTH($A273),1))</f>
        <v/>
      </c>
    </row>
    <row r="274" customFormat="false" ht="15" hidden="false" customHeight="false" outlineLevel="0" collapsed="false">
      <c r="A274" s="25"/>
      <c r="B274" s="19"/>
      <c r="C274" s="19"/>
      <c r="D274" s="26"/>
      <c r="E274" s="27" t="str">
        <f aca="false">IF($B274="","",IFERROR(INDEX(Products!$B$2:$B$201,MATCH($B274,Products!$A$2:$A$201,0)),"Unknown code"))</f>
        <v/>
      </c>
      <c r="F274" s="22" t="str">
        <f aca="false">IF($B274="","",IFERROR(INDEX(Products!$C$2:$C$201,MATCH($B274,Products!$A$2:$A$201,0)),""))</f>
        <v/>
      </c>
      <c r="G274" s="17" t="str">
        <f aca="false">IF($B274="","",IFERROR(INDEX(Products!$D$2:$D$201,MATCH($B274,Products!$A$2:$A$201,0)),0))</f>
        <v/>
      </c>
      <c r="H274" s="17" t="str">
        <f aca="false">IF($B274="","",C274*G274*(1-D274))</f>
        <v/>
      </c>
      <c r="I274" s="17" t="str">
        <f aca="false">IF($B274="","",C274*IFERROR(INDEX(Products!$E$2:$E$201,MATCH($B274,Products!$A$2:$A$201,0)),0))</f>
        <v/>
      </c>
      <c r="J274" s="17" t="str">
        <f aca="false">IF($B274="","",H274-I274)</f>
        <v/>
      </c>
      <c r="K274" s="16" t="str">
        <f aca="false">IF($A274="","",DATE(YEAR($A274),MONTH($A274),1))</f>
        <v/>
      </c>
    </row>
    <row r="275" customFormat="false" ht="15" hidden="false" customHeight="false" outlineLevel="0" collapsed="false">
      <c r="A275" s="25"/>
      <c r="B275" s="19"/>
      <c r="C275" s="19"/>
      <c r="D275" s="26"/>
      <c r="E275" s="27" t="str">
        <f aca="false">IF($B275="","",IFERROR(INDEX(Products!$B$2:$B$201,MATCH($B275,Products!$A$2:$A$201,0)),"Unknown code"))</f>
        <v/>
      </c>
      <c r="F275" s="22" t="str">
        <f aca="false">IF($B275="","",IFERROR(INDEX(Products!$C$2:$C$201,MATCH($B275,Products!$A$2:$A$201,0)),""))</f>
        <v/>
      </c>
      <c r="G275" s="17" t="str">
        <f aca="false">IF($B275="","",IFERROR(INDEX(Products!$D$2:$D$201,MATCH($B275,Products!$A$2:$A$201,0)),0))</f>
        <v/>
      </c>
      <c r="H275" s="17" t="str">
        <f aca="false">IF($B275="","",C275*G275*(1-D275))</f>
        <v/>
      </c>
      <c r="I275" s="17" t="str">
        <f aca="false">IF($B275="","",C275*IFERROR(INDEX(Products!$E$2:$E$201,MATCH($B275,Products!$A$2:$A$201,0)),0))</f>
        <v/>
      </c>
      <c r="J275" s="17" t="str">
        <f aca="false">IF($B275="","",H275-I275)</f>
        <v/>
      </c>
      <c r="K275" s="16" t="str">
        <f aca="false">IF($A275="","",DATE(YEAR($A275),MONTH($A275),1))</f>
        <v/>
      </c>
    </row>
    <row r="276" customFormat="false" ht="15" hidden="false" customHeight="false" outlineLevel="0" collapsed="false">
      <c r="A276" s="25"/>
      <c r="B276" s="19"/>
      <c r="C276" s="19"/>
      <c r="D276" s="26"/>
      <c r="E276" s="27" t="str">
        <f aca="false">IF($B276="","",IFERROR(INDEX(Products!$B$2:$B$201,MATCH($B276,Products!$A$2:$A$201,0)),"Unknown code"))</f>
        <v/>
      </c>
      <c r="F276" s="22" t="str">
        <f aca="false">IF($B276="","",IFERROR(INDEX(Products!$C$2:$C$201,MATCH($B276,Products!$A$2:$A$201,0)),""))</f>
        <v/>
      </c>
      <c r="G276" s="17" t="str">
        <f aca="false">IF($B276="","",IFERROR(INDEX(Products!$D$2:$D$201,MATCH($B276,Products!$A$2:$A$201,0)),0))</f>
        <v/>
      </c>
      <c r="H276" s="17" t="str">
        <f aca="false">IF($B276="","",C276*G276*(1-D276))</f>
        <v/>
      </c>
      <c r="I276" s="17" t="str">
        <f aca="false">IF($B276="","",C276*IFERROR(INDEX(Products!$E$2:$E$201,MATCH($B276,Products!$A$2:$A$201,0)),0))</f>
        <v/>
      </c>
      <c r="J276" s="17" t="str">
        <f aca="false">IF($B276="","",H276-I276)</f>
        <v/>
      </c>
      <c r="K276" s="16" t="str">
        <f aca="false">IF($A276="","",DATE(YEAR($A276),MONTH($A276),1))</f>
        <v/>
      </c>
    </row>
    <row r="277" customFormat="false" ht="15" hidden="false" customHeight="false" outlineLevel="0" collapsed="false">
      <c r="A277" s="25"/>
      <c r="B277" s="19"/>
      <c r="C277" s="19"/>
      <c r="D277" s="26"/>
      <c r="E277" s="27" t="str">
        <f aca="false">IF($B277="","",IFERROR(INDEX(Products!$B$2:$B$201,MATCH($B277,Products!$A$2:$A$201,0)),"Unknown code"))</f>
        <v/>
      </c>
      <c r="F277" s="22" t="str">
        <f aca="false">IF($B277="","",IFERROR(INDEX(Products!$C$2:$C$201,MATCH($B277,Products!$A$2:$A$201,0)),""))</f>
        <v/>
      </c>
      <c r="G277" s="17" t="str">
        <f aca="false">IF($B277="","",IFERROR(INDEX(Products!$D$2:$D$201,MATCH($B277,Products!$A$2:$A$201,0)),0))</f>
        <v/>
      </c>
      <c r="H277" s="17" t="str">
        <f aca="false">IF($B277="","",C277*G277*(1-D277))</f>
        <v/>
      </c>
      <c r="I277" s="17" t="str">
        <f aca="false">IF($B277="","",C277*IFERROR(INDEX(Products!$E$2:$E$201,MATCH($B277,Products!$A$2:$A$201,0)),0))</f>
        <v/>
      </c>
      <c r="J277" s="17" t="str">
        <f aca="false">IF($B277="","",H277-I277)</f>
        <v/>
      </c>
      <c r="K277" s="16" t="str">
        <f aca="false">IF($A277="","",DATE(YEAR($A277),MONTH($A277),1))</f>
        <v/>
      </c>
    </row>
    <row r="278" customFormat="false" ht="15" hidden="false" customHeight="false" outlineLevel="0" collapsed="false">
      <c r="A278" s="25"/>
      <c r="B278" s="19"/>
      <c r="C278" s="19"/>
      <c r="D278" s="26"/>
      <c r="E278" s="27" t="str">
        <f aca="false">IF($B278="","",IFERROR(INDEX(Products!$B$2:$B$201,MATCH($B278,Products!$A$2:$A$201,0)),"Unknown code"))</f>
        <v/>
      </c>
      <c r="F278" s="22" t="str">
        <f aca="false">IF($B278="","",IFERROR(INDEX(Products!$C$2:$C$201,MATCH($B278,Products!$A$2:$A$201,0)),""))</f>
        <v/>
      </c>
      <c r="G278" s="17" t="str">
        <f aca="false">IF($B278="","",IFERROR(INDEX(Products!$D$2:$D$201,MATCH($B278,Products!$A$2:$A$201,0)),0))</f>
        <v/>
      </c>
      <c r="H278" s="17" t="str">
        <f aca="false">IF($B278="","",C278*G278*(1-D278))</f>
        <v/>
      </c>
      <c r="I278" s="17" t="str">
        <f aca="false">IF($B278="","",C278*IFERROR(INDEX(Products!$E$2:$E$201,MATCH($B278,Products!$A$2:$A$201,0)),0))</f>
        <v/>
      </c>
      <c r="J278" s="17" t="str">
        <f aca="false">IF($B278="","",H278-I278)</f>
        <v/>
      </c>
      <c r="K278" s="16" t="str">
        <f aca="false">IF($A278="","",DATE(YEAR($A278),MONTH($A278),1))</f>
        <v/>
      </c>
    </row>
    <row r="279" customFormat="false" ht="15" hidden="false" customHeight="false" outlineLevel="0" collapsed="false">
      <c r="A279" s="25"/>
      <c r="B279" s="19"/>
      <c r="C279" s="19"/>
      <c r="D279" s="26"/>
      <c r="E279" s="27" t="str">
        <f aca="false">IF($B279="","",IFERROR(INDEX(Products!$B$2:$B$201,MATCH($B279,Products!$A$2:$A$201,0)),"Unknown code"))</f>
        <v/>
      </c>
      <c r="F279" s="22" t="str">
        <f aca="false">IF($B279="","",IFERROR(INDEX(Products!$C$2:$C$201,MATCH($B279,Products!$A$2:$A$201,0)),""))</f>
        <v/>
      </c>
      <c r="G279" s="17" t="str">
        <f aca="false">IF($B279="","",IFERROR(INDEX(Products!$D$2:$D$201,MATCH($B279,Products!$A$2:$A$201,0)),0))</f>
        <v/>
      </c>
      <c r="H279" s="17" t="str">
        <f aca="false">IF($B279="","",C279*G279*(1-D279))</f>
        <v/>
      </c>
      <c r="I279" s="17" t="str">
        <f aca="false">IF($B279="","",C279*IFERROR(INDEX(Products!$E$2:$E$201,MATCH($B279,Products!$A$2:$A$201,0)),0))</f>
        <v/>
      </c>
      <c r="J279" s="17" t="str">
        <f aca="false">IF($B279="","",H279-I279)</f>
        <v/>
      </c>
      <c r="K279" s="16" t="str">
        <f aca="false">IF($A279="","",DATE(YEAR($A279),MONTH($A279),1))</f>
        <v/>
      </c>
    </row>
    <row r="280" customFormat="false" ht="15" hidden="false" customHeight="false" outlineLevel="0" collapsed="false">
      <c r="A280" s="25"/>
      <c r="B280" s="19"/>
      <c r="C280" s="19"/>
      <c r="D280" s="26"/>
      <c r="E280" s="27" t="str">
        <f aca="false">IF($B280="","",IFERROR(INDEX(Products!$B$2:$B$201,MATCH($B280,Products!$A$2:$A$201,0)),"Unknown code"))</f>
        <v/>
      </c>
      <c r="F280" s="22" t="str">
        <f aca="false">IF($B280="","",IFERROR(INDEX(Products!$C$2:$C$201,MATCH($B280,Products!$A$2:$A$201,0)),""))</f>
        <v/>
      </c>
      <c r="G280" s="17" t="str">
        <f aca="false">IF($B280="","",IFERROR(INDEX(Products!$D$2:$D$201,MATCH($B280,Products!$A$2:$A$201,0)),0))</f>
        <v/>
      </c>
      <c r="H280" s="17" t="str">
        <f aca="false">IF($B280="","",C280*G280*(1-D280))</f>
        <v/>
      </c>
      <c r="I280" s="17" t="str">
        <f aca="false">IF($B280="","",C280*IFERROR(INDEX(Products!$E$2:$E$201,MATCH($B280,Products!$A$2:$A$201,0)),0))</f>
        <v/>
      </c>
      <c r="J280" s="17" t="str">
        <f aca="false">IF($B280="","",H280-I280)</f>
        <v/>
      </c>
      <c r="K280" s="16" t="str">
        <f aca="false">IF($A280="","",DATE(YEAR($A280),MONTH($A280),1))</f>
        <v/>
      </c>
    </row>
    <row r="281" customFormat="false" ht="15" hidden="false" customHeight="false" outlineLevel="0" collapsed="false">
      <c r="A281" s="25"/>
      <c r="B281" s="19"/>
      <c r="C281" s="19"/>
      <c r="D281" s="26"/>
      <c r="E281" s="27" t="str">
        <f aca="false">IF($B281="","",IFERROR(INDEX(Products!$B$2:$B$201,MATCH($B281,Products!$A$2:$A$201,0)),"Unknown code"))</f>
        <v/>
      </c>
      <c r="F281" s="22" t="str">
        <f aca="false">IF($B281="","",IFERROR(INDEX(Products!$C$2:$C$201,MATCH($B281,Products!$A$2:$A$201,0)),""))</f>
        <v/>
      </c>
      <c r="G281" s="17" t="str">
        <f aca="false">IF($B281="","",IFERROR(INDEX(Products!$D$2:$D$201,MATCH($B281,Products!$A$2:$A$201,0)),0))</f>
        <v/>
      </c>
      <c r="H281" s="17" t="str">
        <f aca="false">IF($B281="","",C281*G281*(1-D281))</f>
        <v/>
      </c>
      <c r="I281" s="17" t="str">
        <f aca="false">IF($B281="","",C281*IFERROR(INDEX(Products!$E$2:$E$201,MATCH($B281,Products!$A$2:$A$201,0)),0))</f>
        <v/>
      </c>
      <c r="J281" s="17" t="str">
        <f aca="false">IF($B281="","",H281-I281)</f>
        <v/>
      </c>
      <c r="K281" s="16" t="str">
        <f aca="false">IF($A281="","",DATE(YEAR($A281),MONTH($A281),1))</f>
        <v/>
      </c>
    </row>
    <row r="282" customFormat="false" ht="15" hidden="false" customHeight="false" outlineLevel="0" collapsed="false">
      <c r="A282" s="25"/>
      <c r="B282" s="19"/>
      <c r="C282" s="19"/>
      <c r="D282" s="26"/>
      <c r="E282" s="27" t="str">
        <f aca="false">IF($B282="","",IFERROR(INDEX(Products!$B$2:$B$201,MATCH($B282,Products!$A$2:$A$201,0)),"Unknown code"))</f>
        <v/>
      </c>
      <c r="F282" s="22" t="str">
        <f aca="false">IF($B282="","",IFERROR(INDEX(Products!$C$2:$C$201,MATCH($B282,Products!$A$2:$A$201,0)),""))</f>
        <v/>
      </c>
      <c r="G282" s="17" t="str">
        <f aca="false">IF($B282="","",IFERROR(INDEX(Products!$D$2:$D$201,MATCH($B282,Products!$A$2:$A$201,0)),0))</f>
        <v/>
      </c>
      <c r="H282" s="17" t="str">
        <f aca="false">IF($B282="","",C282*G282*(1-D282))</f>
        <v/>
      </c>
      <c r="I282" s="17" t="str">
        <f aca="false">IF($B282="","",C282*IFERROR(INDEX(Products!$E$2:$E$201,MATCH($B282,Products!$A$2:$A$201,0)),0))</f>
        <v/>
      </c>
      <c r="J282" s="17" t="str">
        <f aca="false">IF($B282="","",H282-I282)</f>
        <v/>
      </c>
      <c r="K282" s="16" t="str">
        <f aca="false">IF($A282="","",DATE(YEAR($A282),MONTH($A282),1))</f>
        <v/>
      </c>
    </row>
    <row r="283" customFormat="false" ht="15" hidden="false" customHeight="false" outlineLevel="0" collapsed="false">
      <c r="A283" s="25"/>
      <c r="B283" s="19"/>
      <c r="C283" s="19"/>
      <c r="D283" s="26"/>
      <c r="E283" s="27" t="str">
        <f aca="false">IF($B283="","",IFERROR(INDEX(Products!$B$2:$B$201,MATCH($B283,Products!$A$2:$A$201,0)),"Unknown code"))</f>
        <v/>
      </c>
      <c r="F283" s="22" t="str">
        <f aca="false">IF($B283="","",IFERROR(INDEX(Products!$C$2:$C$201,MATCH($B283,Products!$A$2:$A$201,0)),""))</f>
        <v/>
      </c>
      <c r="G283" s="17" t="str">
        <f aca="false">IF($B283="","",IFERROR(INDEX(Products!$D$2:$D$201,MATCH($B283,Products!$A$2:$A$201,0)),0))</f>
        <v/>
      </c>
      <c r="H283" s="17" t="str">
        <f aca="false">IF($B283="","",C283*G283*(1-D283))</f>
        <v/>
      </c>
      <c r="I283" s="17" t="str">
        <f aca="false">IF($B283="","",C283*IFERROR(INDEX(Products!$E$2:$E$201,MATCH($B283,Products!$A$2:$A$201,0)),0))</f>
        <v/>
      </c>
      <c r="J283" s="17" t="str">
        <f aca="false">IF($B283="","",H283-I283)</f>
        <v/>
      </c>
      <c r="K283" s="16" t="str">
        <f aca="false">IF($A283="","",DATE(YEAR($A283),MONTH($A283),1))</f>
        <v/>
      </c>
    </row>
    <row r="284" customFormat="false" ht="15" hidden="false" customHeight="false" outlineLevel="0" collapsed="false">
      <c r="A284" s="25"/>
      <c r="B284" s="19"/>
      <c r="C284" s="19"/>
      <c r="D284" s="26"/>
      <c r="E284" s="27" t="str">
        <f aca="false">IF($B284="","",IFERROR(INDEX(Products!$B$2:$B$201,MATCH($B284,Products!$A$2:$A$201,0)),"Unknown code"))</f>
        <v/>
      </c>
      <c r="F284" s="22" t="str">
        <f aca="false">IF($B284="","",IFERROR(INDEX(Products!$C$2:$C$201,MATCH($B284,Products!$A$2:$A$201,0)),""))</f>
        <v/>
      </c>
      <c r="G284" s="17" t="str">
        <f aca="false">IF($B284="","",IFERROR(INDEX(Products!$D$2:$D$201,MATCH($B284,Products!$A$2:$A$201,0)),0))</f>
        <v/>
      </c>
      <c r="H284" s="17" t="str">
        <f aca="false">IF($B284="","",C284*G284*(1-D284))</f>
        <v/>
      </c>
      <c r="I284" s="17" t="str">
        <f aca="false">IF($B284="","",C284*IFERROR(INDEX(Products!$E$2:$E$201,MATCH($B284,Products!$A$2:$A$201,0)),0))</f>
        <v/>
      </c>
      <c r="J284" s="17" t="str">
        <f aca="false">IF($B284="","",H284-I284)</f>
        <v/>
      </c>
      <c r="K284" s="16" t="str">
        <f aca="false">IF($A284="","",DATE(YEAR($A284),MONTH($A284),1))</f>
        <v/>
      </c>
    </row>
    <row r="285" customFormat="false" ht="15" hidden="false" customHeight="false" outlineLevel="0" collapsed="false">
      <c r="A285" s="25"/>
      <c r="B285" s="19"/>
      <c r="C285" s="19"/>
      <c r="D285" s="26"/>
      <c r="E285" s="27" t="str">
        <f aca="false">IF($B285="","",IFERROR(INDEX(Products!$B$2:$B$201,MATCH($B285,Products!$A$2:$A$201,0)),"Unknown code"))</f>
        <v/>
      </c>
      <c r="F285" s="22" t="str">
        <f aca="false">IF($B285="","",IFERROR(INDEX(Products!$C$2:$C$201,MATCH($B285,Products!$A$2:$A$201,0)),""))</f>
        <v/>
      </c>
      <c r="G285" s="17" t="str">
        <f aca="false">IF($B285="","",IFERROR(INDEX(Products!$D$2:$D$201,MATCH($B285,Products!$A$2:$A$201,0)),0))</f>
        <v/>
      </c>
      <c r="H285" s="17" t="str">
        <f aca="false">IF($B285="","",C285*G285*(1-D285))</f>
        <v/>
      </c>
      <c r="I285" s="17" t="str">
        <f aca="false">IF($B285="","",C285*IFERROR(INDEX(Products!$E$2:$E$201,MATCH($B285,Products!$A$2:$A$201,0)),0))</f>
        <v/>
      </c>
      <c r="J285" s="17" t="str">
        <f aca="false">IF($B285="","",H285-I285)</f>
        <v/>
      </c>
      <c r="K285" s="16" t="str">
        <f aca="false">IF($A285="","",DATE(YEAR($A285),MONTH($A285),1))</f>
        <v/>
      </c>
    </row>
    <row r="286" customFormat="false" ht="15" hidden="false" customHeight="false" outlineLevel="0" collapsed="false">
      <c r="A286" s="25"/>
      <c r="B286" s="19"/>
      <c r="C286" s="19"/>
      <c r="D286" s="26"/>
      <c r="E286" s="27" t="str">
        <f aca="false">IF($B286="","",IFERROR(INDEX(Products!$B$2:$B$201,MATCH($B286,Products!$A$2:$A$201,0)),"Unknown code"))</f>
        <v/>
      </c>
      <c r="F286" s="22" t="str">
        <f aca="false">IF($B286="","",IFERROR(INDEX(Products!$C$2:$C$201,MATCH($B286,Products!$A$2:$A$201,0)),""))</f>
        <v/>
      </c>
      <c r="G286" s="17" t="str">
        <f aca="false">IF($B286="","",IFERROR(INDEX(Products!$D$2:$D$201,MATCH($B286,Products!$A$2:$A$201,0)),0))</f>
        <v/>
      </c>
      <c r="H286" s="17" t="str">
        <f aca="false">IF($B286="","",C286*G286*(1-D286))</f>
        <v/>
      </c>
      <c r="I286" s="17" t="str">
        <f aca="false">IF($B286="","",C286*IFERROR(INDEX(Products!$E$2:$E$201,MATCH($B286,Products!$A$2:$A$201,0)),0))</f>
        <v/>
      </c>
      <c r="J286" s="17" t="str">
        <f aca="false">IF($B286="","",H286-I286)</f>
        <v/>
      </c>
      <c r="K286" s="16" t="str">
        <f aca="false">IF($A286="","",DATE(YEAR($A286),MONTH($A286),1))</f>
        <v/>
      </c>
    </row>
    <row r="287" customFormat="false" ht="15" hidden="false" customHeight="false" outlineLevel="0" collapsed="false">
      <c r="A287" s="25"/>
      <c r="B287" s="19"/>
      <c r="C287" s="19"/>
      <c r="D287" s="26"/>
      <c r="E287" s="27" t="str">
        <f aca="false">IF($B287="","",IFERROR(INDEX(Products!$B$2:$B$201,MATCH($B287,Products!$A$2:$A$201,0)),"Unknown code"))</f>
        <v/>
      </c>
      <c r="F287" s="22" t="str">
        <f aca="false">IF($B287="","",IFERROR(INDEX(Products!$C$2:$C$201,MATCH($B287,Products!$A$2:$A$201,0)),""))</f>
        <v/>
      </c>
      <c r="G287" s="17" t="str">
        <f aca="false">IF($B287="","",IFERROR(INDEX(Products!$D$2:$D$201,MATCH($B287,Products!$A$2:$A$201,0)),0))</f>
        <v/>
      </c>
      <c r="H287" s="17" t="str">
        <f aca="false">IF($B287="","",C287*G287*(1-D287))</f>
        <v/>
      </c>
      <c r="I287" s="17" t="str">
        <f aca="false">IF($B287="","",C287*IFERROR(INDEX(Products!$E$2:$E$201,MATCH($B287,Products!$A$2:$A$201,0)),0))</f>
        <v/>
      </c>
      <c r="J287" s="17" t="str">
        <f aca="false">IF($B287="","",H287-I287)</f>
        <v/>
      </c>
      <c r="K287" s="16" t="str">
        <f aca="false">IF($A287="","",DATE(YEAR($A287),MONTH($A287),1))</f>
        <v/>
      </c>
    </row>
    <row r="288" customFormat="false" ht="15" hidden="false" customHeight="false" outlineLevel="0" collapsed="false">
      <c r="A288" s="25"/>
      <c r="B288" s="19"/>
      <c r="C288" s="19"/>
      <c r="D288" s="26"/>
      <c r="E288" s="27" t="str">
        <f aca="false">IF($B288="","",IFERROR(INDEX(Products!$B$2:$B$201,MATCH($B288,Products!$A$2:$A$201,0)),"Unknown code"))</f>
        <v/>
      </c>
      <c r="F288" s="22" t="str">
        <f aca="false">IF($B288="","",IFERROR(INDEX(Products!$C$2:$C$201,MATCH($B288,Products!$A$2:$A$201,0)),""))</f>
        <v/>
      </c>
      <c r="G288" s="17" t="str">
        <f aca="false">IF($B288="","",IFERROR(INDEX(Products!$D$2:$D$201,MATCH($B288,Products!$A$2:$A$201,0)),0))</f>
        <v/>
      </c>
      <c r="H288" s="17" t="str">
        <f aca="false">IF($B288="","",C288*G288*(1-D288))</f>
        <v/>
      </c>
      <c r="I288" s="17" t="str">
        <f aca="false">IF($B288="","",C288*IFERROR(INDEX(Products!$E$2:$E$201,MATCH($B288,Products!$A$2:$A$201,0)),0))</f>
        <v/>
      </c>
      <c r="J288" s="17" t="str">
        <f aca="false">IF($B288="","",H288-I288)</f>
        <v/>
      </c>
      <c r="K288" s="16" t="str">
        <f aca="false">IF($A288="","",DATE(YEAR($A288),MONTH($A288),1))</f>
        <v/>
      </c>
    </row>
    <row r="289" customFormat="false" ht="15" hidden="false" customHeight="false" outlineLevel="0" collapsed="false">
      <c r="A289" s="25"/>
      <c r="B289" s="19"/>
      <c r="C289" s="19"/>
      <c r="D289" s="26"/>
      <c r="E289" s="27" t="str">
        <f aca="false">IF($B289="","",IFERROR(INDEX(Products!$B$2:$B$201,MATCH($B289,Products!$A$2:$A$201,0)),"Unknown code"))</f>
        <v/>
      </c>
      <c r="F289" s="22" t="str">
        <f aca="false">IF($B289="","",IFERROR(INDEX(Products!$C$2:$C$201,MATCH($B289,Products!$A$2:$A$201,0)),""))</f>
        <v/>
      </c>
      <c r="G289" s="17" t="str">
        <f aca="false">IF($B289="","",IFERROR(INDEX(Products!$D$2:$D$201,MATCH($B289,Products!$A$2:$A$201,0)),0))</f>
        <v/>
      </c>
      <c r="H289" s="17" t="str">
        <f aca="false">IF($B289="","",C289*G289*(1-D289))</f>
        <v/>
      </c>
      <c r="I289" s="17" t="str">
        <f aca="false">IF($B289="","",C289*IFERROR(INDEX(Products!$E$2:$E$201,MATCH($B289,Products!$A$2:$A$201,0)),0))</f>
        <v/>
      </c>
      <c r="J289" s="17" t="str">
        <f aca="false">IF($B289="","",H289-I289)</f>
        <v/>
      </c>
      <c r="K289" s="16" t="str">
        <f aca="false">IF($A289="","",DATE(YEAR($A289),MONTH($A289),1))</f>
        <v/>
      </c>
    </row>
    <row r="290" customFormat="false" ht="15" hidden="false" customHeight="false" outlineLevel="0" collapsed="false">
      <c r="A290" s="25"/>
      <c r="B290" s="19"/>
      <c r="C290" s="19"/>
      <c r="D290" s="26"/>
      <c r="E290" s="27" t="str">
        <f aca="false">IF($B290="","",IFERROR(INDEX(Products!$B$2:$B$201,MATCH($B290,Products!$A$2:$A$201,0)),"Unknown code"))</f>
        <v/>
      </c>
      <c r="F290" s="22" t="str">
        <f aca="false">IF($B290="","",IFERROR(INDEX(Products!$C$2:$C$201,MATCH($B290,Products!$A$2:$A$201,0)),""))</f>
        <v/>
      </c>
      <c r="G290" s="17" t="str">
        <f aca="false">IF($B290="","",IFERROR(INDEX(Products!$D$2:$D$201,MATCH($B290,Products!$A$2:$A$201,0)),0))</f>
        <v/>
      </c>
      <c r="H290" s="17" t="str">
        <f aca="false">IF($B290="","",C290*G290*(1-D290))</f>
        <v/>
      </c>
      <c r="I290" s="17" t="str">
        <f aca="false">IF($B290="","",C290*IFERROR(INDEX(Products!$E$2:$E$201,MATCH($B290,Products!$A$2:$A$201,0)),0))</f>
        <v/>
      </c>
      <c r="J290" s="17" t="str">
        <f aca="false">IF($B290="","",H290-I290)</f>
        <v/>
      </c>
      <c r="K290" s="16" t="str">
        <f aca="false">IF($A290="","",DATE(YEAR($A290),MONTH($A290),1))</f>
        <v/>
      </c>
    </row>
    <row r="291" customFormat="false" ht="15" hidden="false" customHeight="false" outlineLevel="0" collapsed="false">
      <c r="A291" s="25"/>
      <c r="B291" s="19"/>
      <c r="C291" s="19"/>
      <c r="D291" s="26"/>
      <c r="E291" s="27" t="str">
        <f aca="false">IF($B291="","",IFERROR(INDEX(Products!$B$2:$B$201,MATCH($B291,Products!$A$2:$A$201,0)),"Unknown code"))</f>
        <v/>
      </c>
      <c r="F291" s="22" t="str">
        <f aca="false">IF($B291="","",IFERROR(INDEX(Products!$C$2:$C$201,MATCH($B291,Products!$A$2:$A$201,0)),""))</f>
        <v/>
      </c>
      <c r="G291" s="17" t="str">
        <f aca="false">IF($B291="","",IFERROR(INDEX(Products!$D$2:$D$201,MATCH($B291,Products!$A$2:$A$201,0)),0))</f>
        <v/>
      </c>
      <c r="H291" s="17" t="str">
        <f aca="false">IF($B291="","",C291*G291*(1-D291))</f>
        <v/>
      </c>
      <c r="I291" s="17" t="str">
        <f aca="false">IF($B291="","",C291*IFERROR(INDEX(Products!$E$2:$E$201,MATCH($B291,Products!$A$2:$A$201,0)),0))</f>
        <v/>
      </c>
      <c r="J291" s="17" t="str">
        <f aca="false">IF($B291="","",H291-I291)</f>
        <v/>
      </c>
      <c r="K291" s="16" t="str">
        <f aca="false">IF($A291="","",DATE(YEAR($A291),MONTH($A291),1))</f>
        <v/>
      </c>
    </row>
    <row r="292" customFormat="false" ht="15" hidden="false" customHeight="false" outlineLevel="0" collapsed="false">
      <c r="A292" s="25"/>
      <c r="B292" s="19"/>
      <c r="C292" s="19"/>
      <c r="D292" s="26"/>
      <c r="E292" s="27" t="str">
        <f aca="false">IF($B292="","",IFERROR(INDEX(Products!$B$2:$B$201,MATCH($B292,Products!$A$2:$A$201,0)),"Unknown code"))</f>
        <v/>
      </c>
      <c r="F292" s="22" t="str">
        <f aca="false">IF($B292="","",IFERROR(INDEX(Products!$C$2:$C$201,MATCH($B292,Products!$A$2:$A$201,0)),""))</f>
        <v/>
      </c>
      <c r="G292" s="17" t="str">
        <f aca="false">IF($B292="","",IFERROR(INDEX(Products!$D$2:$D$201,MATCH($B292,Products!$A$2:$A$201,0)),0))</f>
        <v/>
      </c>
      <c r="H292" s="17" t="str">
        <f aca="false">IF($B292="","",C292*G292*(1-D292))</f>
        <v/>
      </c>
      <c r="I292" s="17" t="str">
        <f aca="false">IF($B292="","",C292*IFERROR(INDEX(Products!$E$2:$E$201,MATCH($B292,Products!$A$2:$A$201,0)),0))</f>
        <v/>
      </c>
      <c r="J292" s="17" t="str">
        <f aca="false">IF($B292="","",H292-I292)</f>
        <v/>
      </c>
      <c r="K292" s="16" t="str">
        <f aca="false">IF($A292="","",DATE(YEAR($A292),MONTH($A292),1))</f>
        <v/>
      </c>
    </row>
    <row r="293" customFormat="false" ht="15" hidden="false" customHeight="false" outlineLevel="0" collapsed="false">
      <c r="A293" s="25"/>
      <c r="B293" s="19"/>
      <c r="C293" s="19"/>
      <c r="D293" s="26"/>
      <c r="E293" s="27" t="str">
        <f aca="false">IF($B293="","",IFERROR(INDEX(Products!$B$2:$B$201,MATCH($B293,Products!$A$2:$A$201,0)),"Unknown code"))</f>
        <v/>
      </c>
      <c r="F293" s="22" t="str">
        <f aca="false">IF($B293="","",IFERROR(INDEX(Products!$C$2:$C$201,MATCH($B293,Products!$A$2:$A$201,0)),""))</f>
        <v/>
      </c>
      <c r="G293" s="17" t="str">
        <f aca="false">IF($B293="","",IFERROR(INDEX(Products!$D$2:$D$201,MATCH($B293,Products!$A$2:$A$201,0)),0))</f>
        <v/>
      </c>
      <c r="H293" s="17" t="str">
        <f aca="false">IF($B293="","",C293*G293*(1-D293))</f>
        <v/>
      </c>
      <c r="I293" s="17" t="str">
        <f aca="false">IF($B293="","",C293*IFERROR(INDEX(Products!$E$2:$E$201,MATCH($B293,Products!$A$2:$A$201,0)),0))</f>
        <v/>
      </c>
      <c r="J293" s="17" t="str">
        <f aca="false">IF($B293="","",H293-I293)</f>
        <v/>
      </c>
      <c r="K293" s="16" t="str">
        <f aca="false">IF($A293="","",DATE(YEAR($A293),MONTH($A293),1))</f>
        <v/>
      </c>
    </row>
    <row r="294" customFormat="false" ht="15" hidden="false" customHeight="false" outlineLevel="0" collapsed="false">
      <c r="A294" s="25"/>
      <c r="B294" s="19"/>
      <c r="C294" s="19"/>
      <c r="D294" s="26"/>
      <c r="E294" s="27" t="str">
        <f aca="false">IF($B294="","",IFERROR(INDEX(Products!$B$2:$B$201,MATCH($B294,Products!$A$2:$A$201,0)),"Unknown code"))</f>
        <v/>
      </c>
      <c r="F294" s="22" t="str">
        <f aca="false">IF($B294="","",IFERROR(INDEX(Products!$C$2:$C$201,MATCH($B294,Products!$A$2:$A$201,0)),""))</f>
        <v/>
      </c>
      <c r="G294" s="17" t="str">
        <f aca="false">IF($B294="","",IFERROR(INDEX(Products!$D$2:$D$201,MATCH($B294,Products!$A$2:$A$201,0)),0))</f>
        <v/>
      </c>
      <c r="H294" s="17" t="str">
        <f aca="false">IF($B294="","",C294*G294*(1-D294))</f>
        <v/>
      </c>
      <c r="I294" s="17" t="str">
        <f aca="false">IF($B294="","",C294*IFERROR(INDEX(Products!$E$2:$E$201,MATCH($B294,Products!$A$2:$A$201,0)),0))</f>
        <v/>
      </c>
      <c r="J294" s="17" t="str">
        <f aca="false">IF($B294="","",H294-I294)</f>
        <v/>
      </c>
      <c r="K294" s="16" t="str">
        <f aca="false">IF($A294="","",DATE(YEAR($A294),MONTH($A294),1))</f>
        <v/>
      </c>
    </row>
    <row r="295" customFormat="false" ht="15" hidden="false" customHeight="false" outlineLevel="0" collapsed="false">
      <c r="A295" s="25"/>
      <c r="B295" s="19"/>
      <c r="C295" s="19"/>
      <c r="D295" s="26"/>
      <c r="E295" s="27" t="str">
        <f aca="false">IF($B295="","",IFERROR(INDEX(Products!$B$2:$B$201,MATCH($B295,Products!$A$2:$A$201,0)),"Unknown code"))</f>
        <v/>
      </c>
      <c r="F295" s="22" t="str">
        <f aca="false">IF($B295="","",IFERROR(INDEX(Products!$C$2:$C$201,MATCH($B295,Products!$A$2:$A$201,0)),""))</f>
        <v/>
      </c>
      <c r="G295" s="17" t="str">
        <f aca="false">IF($B295="","",IFERROR(INDEX(Products!$D$2:$D$201,MATCH($B295,Products!$A$2:$A$201,0)),0))</f>
        <v/>
      </c>
      <c r="H295" s="17" t="str">
        <f aca="false">IF($B295="","",C295*G295*(1-D295))</f>
        <v/>
      </c>
      <c r="I295" s="17" t="str">
        <f aca="false">IF($B295="","",C295*IFERROR(INDEX(Products!$E$2:$E$201,MATCH($B295,Products!$A$2:$A$201,0)),0))</f>
        <v/>
      </c>
      <c r="J295" s="17" t="str">
        <f aca="false">IF($B295="","",H295-I295)</f>
        <v/>
      </c>
      <c r="K295" s="16" t="str">
        <f aca="false">IF($A295="","",DATE(YEAR($A295),MONTH($A295),1))</f>
        <v/>
      </c>
    </row>
    <row r="296" customFormat="false" ht="15" hidden="false" customHeight="false" outlineLevel="0" collapsed="false">
      <c r="A296" s="25"/>
      <c r="B296" s="19"/>
      <c r="C296" s="19"/>
      <c r="D296" s="26"/>
      <c r="E296" s="27" t="str">
        <f aca="false">IF($B296="","",IFERROR(INDEX(Products!$B$2:$B$201,MATCH($B296,Products!$A$2:$A$201,0)),"Unknown code"))</f>
        <v/>
      </c>
      <c r="F296" s="22" t="str">
        <f aca="false">IF($B296="","",IFERROR(INDEX(Products!$C$2:$C$201,MATCH($B296,Products!$A$2:$A$201,0)),""))</f>
        <v/>
      </c>
      <c r="G296" s="17" t="str">
        <f aca="false">IF($B296="","",IFERROR(INDEX(Products!$D$2:$D$201,MATCH($B296,Products!$A$2:$A$201,0)),0))</f>
        <v/>
      </c>
      <c r="H296" s="17" t="str">
        <f aca="false">IF($B296="","",C296*G296*(1-D296))</f>
        <v/>
      </c>
      <c r="I296" s="17" t="str">
        <f aca="false">IF($B296="","",C296*IFERROR(INDEX(Products!$E$2:$E$201,MATCH($B296,Products!$A$2:$A$201,0)),0))</f>
        <v/>
      </c>
      <c r="J296" s="17" t="str">
        <f aca="false">IF($B296="","",H296-I296)</f>
        <v/>
      </c>
      <c r="K296" s="16" t="str">
        <f aca="false">IF($A296="","",DATE(YEAR($A296),MONTH($A296),1))</f>
        <v/>
      </c>
    </row>
    <row r="297" customFormat="false" ht="15" hidden="false" customHeight="false" outlineLevel="0" collapsed="false">
      <c r="A297" s="25"/>
      <c r="B297" s="19"/>
      <c r="C297" s="19"/>
      <c r="D297" s="26"/>
      <c r="E297" s="27" t="str">
        <f aca="false">IF($B297="","",IFERROR(INDEX(Products!$B$2:$B$201,MATCH($B297,Products!$A$2:$A$201,0)),"Unknown code"))</f>
        <v/>
      </c>
      <c r="F297" s="22" t="str">
        <f aca="false">IF($B297="","",IFERROR(INDEX(Products!$C$2:$C$201,MATCH($B297,Products!$A$2:$A$201,0)),""))</f>
        <v/>
      </c>
      <c r="G297" s="17" t="str">
        <f aca="false">IF($B297="","",IFERROR(INDEX(Products!$D$2:$D$201,MATCH($B297,Products!$A$2:$A$201,0)),0))</f>
        <v/>
      </c>
      <c r="H297" s="17" t="str">
        <f aca="false">IF($B297="","",C297*G297*(1-D297))</f>
        <v/>
      </c>
      <c r="I297" s="17" t="str">
        <f aca="false">IF($B297="","",C297*IFERROR(INDEX(Products!$E$2:$E$201,MATCH($B297,Products!$A$2:$A$201,0)),0))</f>
        <v/>
      </c>
      <c r="J297" s="17" t="str">
        <f aca="false">IF($B297="","",H297-I297)</f>
        <v/>
      </c>
      <c r="K297" s="16" t="str">
        <f aca="false">IF($A297="","",DATE(YEAR($A297),MONTH($A297),1))</f>
        <v/>
      </c>
    </row>
    <row r="298" customFormat="false" ht="15" hidden="false" customHeight="false" outlineLevel="0" collapsed="false">
      <c r="A298" s="25"/>
      <c r="B298" s="19"/>
      <c r="C298" s="19"/>
      <c r="D298" s="26"/>
      <c r="E298" s="27" t="str">
        <f aca="false">IF($B298="","",IFERROR(INDEX(Products!$B$2:$B$201,MATCH($B298,Products!$A$2:$A$201,0)),"Unknown code"))</f>
        <v/>
      </c>
      <c r="F298" s="22" t="str">
        <f aca="false">IF($B298="","",IFERROR(INDEX(Products!$C$2:$C$201,MATCH($B298,Products!$A$2:$A$201,0)),""))</f>
        <v/>
      </c>
      <c r="G298" s="17" t="str">
        <f aca="false">IF($B298="","",IFERROR(INDEX(Products!$D$2:$D$201,MATCH($B298,Products!$A$2:$A$201,0)),0))</f>
        <v/>
      </c>
      <c r="H298" s="17" t="str">
        <f aca="false">IF($B298="","",C298*G298*(1-D298))</f>
        <v/>
      </c>
      <c r="I298" s="17" t="str">
        <f aca="false">IF($B298="","",C298*IFERROR(INDEX(Products!$E$2:$E$201,MATCH($B298,Products!$A$2:$A$201,0)),0))</f>
        <v/>
      </c>
      <c r="J298" s="17" t="str">
        <f aca="false">IF($B298="","",H298-I298)</f>
        <v/>
      </c>
      <c r="K298" s="16" t="str">
        <f aca="false">IF($A298="","",DATE(YEAR($A298),MONTH($A298),1))</f>
        <v/>
      </c>
    </row>
    <row r="299" customFormat="false" ht="15" hidden="false" customHeight="false" outlineLevel="0" collapsed="false">
      <c r="A299" s="25"/>
      <c r="B299" s="19"/>
      <c r="C299" s="19"/>
      <c r="D299" s="26"/>
      <c r="E299" s="27" t="str">
        <f aca="false">IF($B299="","",IFERROR(INDEX(Products!$B$2:$B$201,MATCH($B299,Products!$A$2:$A$201,0)),"Unknown code"))</f>
        <v/>
      </c>
      <c r="F299" s="22" t="str">
        <f aca="false">IF($B299="","",IFERROR(INDEX(Products!$C$2:$C$201,MATCH($B299,Products!$A$2:$A$201,0)),""))</f>
        <v/>
      </c>
      <c r="G299" s="17" t="str">
        <f aca="false">IF($B299="","",IFERROR(INDEX(Products!$D$2:$D$201,MATCH($B299,Products!$A$2:$A$201,0)),0))</f>
        <v/>
      </c>
      <c r="H299" s="17" t="str">
        <f aca="false">IF($B299="","",C299*G299*(1-D299))</f>
        <v/>
      </c>
      <c r="I299" s="17" t="str">
        <f aca="false">IF($B299="","",C299*IFERROR(INDEX(Products!$E$2:$E$201,MATCH($B299,Products!$A$2:$A$201,0)),0))</f>
        <v/>
      </c>
      <c r="J299" s="17" t="str">
        <f aca="false">IF($B299="","",H299-I299)</f>
        <v/>
      </c>
      <c r="K299" s="16" t="str">
        <f aca="false">IF($A299="","",DATE(YEAR($A299),MONTH($A299),1))</f>
        <v/>
      </c>
    </row>
    <row r="300" customFormat="false" ht="15" hidden="false" customHeight="false" outlineLevel="0" collapsed="false">
      <c r="A300" s="25"/>
      <c r="B300" s="19"/>
      <c r="C300" s="19"/>
      <c r="D300" s="26"/>
      <c r="E300" s="27" t="str">
        <f aca="false">IF($B300="","",IFERROR(INDEX(Products!$B$2:$B$201,MATCH($B300,Products!$A$2:$A$201,0)),"Unknown code"))</f>
        <v/>
      </c>
      <c r="F300" s="22" t="str">
        <f aca="false">IF($B300="","",IFERROR(INDEX(Products!$C$2:$C$201,MATCH($B300,Products!$A$2:$A$201,0)),""))</f>
        <v/>
      </c>
      <c r="G300" s="17" t="str">
        <f aca="false">IF($B300="","",IFERROR(INDEX(Products!$D$2:$D$201,MATCH($B300,Products!$A$2:$A$201,0)),0))</f>
        <v/>
      </c>
      <c r="H300" s="17" t="str">
        <f aca="false">IF($B300="","",C300*G300*(1-D300))</f>
        <v/>
      </c>
      <c r="I300" s="17" t="str">
        <f aca="false">IF($B300="","",C300*IFERROR(INDEX(Products!$E$2:$E$201,MATCH($B300,Products!$A$2:$A$201,0)),0))</f>
        <v/>
      </c>
      <c r="J300" s="17" t="str">
        <f aca="false">IF($B300="","",H300-I300)</f>
        <v/>
      </c>
      <c r="K300" s="16" t="str">
        <f aca="false">IF($A300="","",DATE(YEAR($A300),MONTH($A300),1))</f>
        <v/>
      </c>
    </row>
    <row r="301" customFormat="false" ht="15" hidden="false" customHeight="false" outlineLevel="0" collapsed="false">
      <c r="A301" s="25"/>
      <c r="B301" s="19"/>
      <c r="C301" s="19"/>
      <c r="D301" s="26"/>
      <c r="E301" s="27" t="str">
        <f aca="false">IF($B301="","",IFERROR(INDEX(Products!$B$2:$B$201,MATCH($B301,Products!$A$2:$A$201,0)),"Unknown code"))</f>
        <v/>
      </c>
      <c r="F301" s="22" t="str">
        <f aca="false">IF($B301="","",IFERROR(INDEX(Products!$C$2:$C$201,MATCH($B301,Products!$A$2:$A$201,0)),""))</f>
        <v/>
      </c>
      <c r="G301" s="17" t="str">
        <f aca="false">IF($B301="","",IFERROR(INDEX(Products!$D$2:$D$201,MATCH($B301,Products!$A$2:$A$201,0)),0))</f>
        <v/>
      </c>
      <c r="H301" s="17" t="str">
        <f aca="false">IF($B301="","",C301*G301*(1-D301))</f>
        <v/>
      </c>
      <c r="I301" s="17" t="str">
        <f aca="false">IF($B301="","",C301*IFERROR(INDEX(Products!$E$2:$E$201,MATCH($B301,Products!$A$2:$A$201,0)),0))</f>
        <v/>
      </c>
      <c r="J301" s="17" t="str">
        <f aca="false">IF($B301="","",H301-I301)</f>
        <v/>
      </c>
      <c r="K301" s="16" t="str">
        <f aca="false">IF($A301="","",DATE(YEAR($A301),MONTH($A301),1))</f>
        <v/>
      </c>
    </row>
    <row r="302" customFormat="false" ht="15" hidden="false" customHeight="false" outlineLevel="0" collapsed="false">
      <c r="A302" s="25"/>
      <c r="B302" s="19"/>
      <c r="C302" s="19"/>
      <c r="D302" s="26"/>
      <c r="E302" s="27" t="str">
        <f aca="false">IF($B302="","",IFERROR(INDEX(Products!$B$2:$B$201,MATCH($B302,Products!$A$2:$A$201,0)),"Unknown code"))</f>
        <v/>
      </c>
      <c r="F302" s="22" t="str">
        <f aca="false">IF($B302="","",IFERROR(INDEX(Products!$C$2:$C$201,MATCH($B302,Products!$A$2:$A$201,0)),""))</f>
        <v/>
      </c>
      <c r="G302" s="17" t="str">
        <f aca="false">IF($B302="","",IFERROR(INDEX(Products!$D$2:$D$201,MATCH($B302,Products!$A$2:$A$201,0)),0))</f>
        <v/>
      </c>
      <c r="H302" s="17" t="str">
        <f aca="false">IF($B302="","",C302*G302*(1-D302))</f>
        <v/>
      </c>
      <c r="I302" s="17" t="str">
        <f aca="false">IF($B302="","",C302*IFERROR(INDEX(Products!$E$2:$E$201,MATCH($B302,Products!$A$2:$A$201,0)),0))</f>
        <v/>
      </c>
      <c r="J302" s="17" t="str">
        <f aca="false">IF($B302="","",H302-I302)</f>
        <v/>
      </c>
      <c r="K302" s="16" t="str">
        <f aca="false">IF($A302="","",DATE(YEAR($A302),MONTH($A302),1))</f>
        <v/>
      </c>
    </row>
    <row r="303" customFormat="false" ht="15" hidden="false" customHeight="false" outlineLevel="0" collapsed="false">
      <c r="A303" s="25"/>
      <c r="B303" s="19"/>
      <c r="C303" s="19"/>
      <c r="D303" s="26"/>
      <c r="E303" s="27" t="str">
        <f aca="false">IF($B303="","",IFERROR(INDEX(Products!$B$2:$B$201,MATCH($B303,Products!$A$2:$A$201,0)),"Unknown code"))</f>
        <v/>
      </c>
      <c r="F303" s="22" t="str">
        <f aca="false">IF($B303="","",IFERROR(INDEX(Products!$C$2:$C$201,MATCH($B303,Products!$A$2:$A$201,0)),""))</f>
        <v/>
      </c>
      <c r="G303" s="17" t="str">
        <f aca="false">IF($B303="","",IFERROR(INDEX(Products!$D$2:$D$201,MATCH($B303,Products!$A$2:$A$201,0)),0))</f>
        <v/>
      </c>
      <c r="H303" s="17" t="str">
        <f aca="false">IF($B303="","",C303*G303*(1-D303))</f>
        <v/>
      </c>
      <c r="I303" s="17" t="str">
        <f aca="false">IF($B303="","",C303*IFERROR(INDEX(Products!$E$2:$E$201,MATCH($B303,Products!$A$2:$A$201,0)),0))</f>
        <v/>
      </c>
      <c r="J303" s="17" t="str">
        <f aca="false">IF($B303="","",H303-I303)</f>
        <v/>
      </c>
      <c r="K303" s="16" t="str">
        <f aca="false">IF($A303="","",DATE(YEAR($A303),MONTH($A303),1))</f>
        <v/>
      </c>
    </row>
    <row r="304" customFormat="false" ht="15" hidden="false" customHeight="false" outlineLevel="0" collapsed="false">
      <c r="A304" s="25"/>
      <c r="B304" s="19"/>
      <c r="C304" s="19"/>
      <c r="D304" s="26"/>
      <c r="E304" s="27" t="str">
        <f aca="false">IF($B304="","",IFERROR(INDEX(Products!$B$2:$B$201,MATCH($B304,Products!$A$2:$A$201,0)),"Unknown code"))</f>
        <v/>
      </c>
      <c r="F304" s="22" t="str">
        <f aca="false">IF($B304="","",IFERROR(INDEX(Products!$C$2:$C$201,MATCH($B304,Products!$A$2:$A$201,0)),""))</f>
        <v/>
      </c>
      <c r="G304" s="17" t="str">
        <f aca="false">IF($B304="","",IFERROR(INDEX(Products!$D$2:$D$201,MATCH($B304,Products!$A$2:$A$201,0)),0))</f>
        <v/>
      </c>
      <c r="H304" s="17" t="str">
        <f aca="false">IF($B304="","",C304*G304*(1-D304))</f>
        <v/>
      </c>
      <c r="I304" s="17" t="str">
        <f aca="false">IF($B304="","",C304*IFERROR(INDEX(Products!$E$2:$E$201,MATCH($B304,Products!$A$2:$A$201,0)),0))</f>
        <v/>
      </c>
      <c r="J304" s="17" t="str">
        <f aca="false">IF($B304="","",H304-I304)</f>
        <v/>
      </c>
      <c r="K304" s="16" t="str">
        <f aca="false">IF($A304="","",DATE(YEAR($A304),MONTH($A304),1))</f>
        <v/>
      </c>
    </row>
    <row r="305" customFormat="false" ht="15" hidden="false" customHeight="false" outlineLevel="0" collapsed="false">
      <c r="A305" s="25"/>
      <c r="B305" s="19"/>
      <c r="C305" s="19"/>
      <c r="D305" s="26"/>
      <c r="E305" s="27" t="str">
        <f aca="false">IF($B305="","",IFERROR(INDEX(Products!$B$2:$B$201,MATCH($B305,Products!$A$2:$A$201,0)),"Unknown code"))</f>
        <v/>
      </c>
      <c r="F305" s="22" t="str">
        <f aca="false">IF($B305="","",IFERROR(INDEX(Products!$C$2:$C$201,MATCH($B305,Products!$A$2:$A$201,0)),""))</f>
        <v/>
      </c>
      <c r="G305" s="17" t="str">
        <f aca="false">IF($B305="","",IFERROR(INDEX(Products!$D$2:$D$201,MATCH($B305,Products!$A$2:$A$201,0)),0))</f>
        <v/>
      </c>
      <c r="H305" s="17" t="str">
        <f aca="false">IF($B305="","",C305*G305*(1-D305))</f>
        <v/>
      </c>
      <c r="I305" s="17" t="str">
        <f aca="false">IF($B305="","",C305*IFERROR(INDEX(Products!$E$2:$E$201,MATCH($B305,Products!$A$2:$A$201,0)),0))</f>
        <v/>
      </c>
      <c r="J305" s="17" t="str">
        <f aca="false">IF($B305="","",H305-I305)</f>
        <v/>
      </c>
      <c r="K305" s="16" t="str">
        <f aca="false">IF($A305="","",DATE(YEAR($A305),MONTH($A305),1))</f>
        <v/>
      </c>
    </row>
    <row r="306" customFormat="false" ht="15" hidden="false" customHeight="false" outlineLevel="0" collapsed="false">
      <c r="A306" s="25"/>
      <c r="B306" s="19"/>
      <c r="C306" s="19"/>
      <c r="D306" s="26"/>
      <c r="E306" s="27" t="str">
        <f aca="false">IF($B306="","",IFERROR(INDEX(Products!$B$2:$B$201,MATCH($B306,Products!$A$2:$A$201,0)),"Unknown code"))</f>
        <v/>
      </c>
      <c r="F306" s="22" t="str">
        <f aca="false">IF($B306="","",IFERROR(INDEX(Products!$C$2:$C$201,MATCH($B306,Products!$A$2:$A$201,0)),""))</f>
        <v/>
      </c>
      <c r="G306" s="17" t="str">
        <f aca="false">IF($B306="","",IFERROR(INDEX(Products!$D$2:$D$201,MATCH($B306,Products!$A$2:$A$201,0)),0))</f>
        <v/>
      </c>
      <c r="H306" s="17" t="str">
        <f aca="false">IF($B306="","",C306*G306*(1-D306))</f>
        <v/>
      </c>
      <c r="I306" s="17" t="str">
        <f aca="false">IF($B306="","",C306*IFERROR(INDEX(Products!$E$2:$E$201,MATCH($B306,Products!$A$2:$A$201,0)),0))</f>
        <v/>
      </c>
      <c r="J306" s="17" t="str">
        <f aca="false">IF($B306="","",H306-I306)</f>
        <v/>
      </c>
      <c r="K306" s="16" t="str">
        <f aca="false">IF($A306="","",DATE(YEAR($A306),MONTH($A306),1))</f>
        <v/>
      </c>
    </row>
    <row r="307" customFormat="false" ht="15" hidden="false" customHeight="false" outlineLevel="0" collapsed="false">
      <c r="A307" s="25"/>
      <c r="B307" s="19"/>
      <c r="C307" s="19"/>
      <c r="D307" s="26"/>
      <c r="E307" s="27" t="str">
        <f aca="false">IF($B307="","",IFERROR(INDEX(Products!$B$2:$B$201,MATCH($B307,Products!$A$2:$A$201,0)),"Unknown code"))</f>
        <v/>
      </c>
      <c r="F307" s="22" t="str">
        <f aca="false">IF($B307="","",IFERROR(INDEX(Products!$C$2:$C$201,MATCH($B307,Products!$A$2:$A$201,0)),""))</f>
        <v/>
      </c>
      <c r="G307" s="17" t="str">
        <f aca="false">IF($B307="","",IFERROR(INDEX(Products!$D$2:$D$201,MATCH($B307,Products!$A$2:$A$201,0)),0))</f>
        <v/>
      </c>
      <c r="H307" s="17" t="str">
        <f aca="false">IF($B307="","",C307*G307*(1-D307))</f>
        <v/>
      </c>
      <c r="I307" s="17" t="str">
        <f aca="false">IF($B307="","",C307*IFERROR(INDEX(Products!$E$2:$E$201,MATCH($B307,Products!$A$2:$A$201,0)),0))</f>
        <v/>
      </c>
      <c r="J307" s="17" t="str">
        <f aca="false">IF($B307="","",H307-I307)</f>
        <v/>
      </c>
      <c r="K307" s="16" t="str">
        <f aca="false">IF($A307="","",DATE(YEAR($A307),MONTH($A307),1))</f>
        <v/>
      </c>
    </row>
    <row r="308" customFormat="false" ht="15" hidden="false" customHeight="false" outlineLevel="0" collapsed="false">
      <c r="A308" s="25"/>
      <c r="B308" s="19"/>
      <c r="C308" s="19"/>
      <c r="D308" s="26"/>
      <c r="E308" s="27" t="str">
        <f aca="false">IF($B308="","",IFERROR(INDEX(Products!$B$2:$B$201,MATCH($B308,Products!$A$2:$A$201,0)),"Unknown code"))</f>
        <v/>
      </c>
      <c r="F308" s="22" t="str">
        <f aca="false">IF($B308="","",IFERROR(INDEX(Products!$C$2:$C$201,MATCH($B308,Products!$A$2:$A$201,0)),""))</f>
        <v/>
      </c>
      <c r="G308" s="17" t="str">
        <f aca="false">IF($B308="","",IFERROR(INDEX(Products!$D$2:$D$201,MATCH($B308,Products!$A$2:$A$201,0)),0))</f>
        <v/>
      </c>
      <c r="H308" s="17" t="str">
        <f aca="false">IF($B308="","",C308*G308*(1-D308))</f>
        <v/>
      </c>
      <c r="I308" s="17" t="str">
        <f aca="false">IF($B308="","",C308*IFERROR(INDEX(Products!$E$2:$E$201,MATCH($B308,Products!$A$2:$A$201,0)),0))</f>
        <v/>
      </c>
      <c r="J308" s="17" t="str">
        <f aca="false">IF($B308="","",H308-I308)</f>
        <v/>
      </c>
      <c r="K308" s="16" t="str">
        <f aca="false">IF($A308="","",DATE(YEAR($A308),MONTH($A308),1))</f>
        <v/>
      </c>
    </row>
    <row r="309" customFormat="false" ht="15" hidden="false" customHeight="false" outlineLevel="0" collapsed="false">
      <c r="A309" s="25"/>
      <c r="B309" s="19"/>
      <c r="C309" s="19"/>
      <c r="D309" s="26"/>
      <c r="E309" s="27" t="str">
        <f aca="false">IF($B309="","",IFERROR(INDEX(Products!$B$2:$B$201,MATCH($B309,Products!$A$2:$A$201,0)),"Unknown code"))</f>
        <v/>
      </c>
      <c r="F309" s="22" t="str">
        <f aca="false">IF($B309="","",IFERROR(INDEX(Products!$C$2:$C$201,MATCH($B309,Products!$A$2:$A$201,0)),""))</f>
        <v/>
      </c>
      <c r="G309" s="17" t="str">
        <f aca="false">IF($B309="","",IFERROR(INDEX(Products!$D$2:$D$201,MATCH($B309,Products!$A$2:$A$201,0)),0))</f>
        <v/>
      </c>
      <c r="H309" s="17" t="str">
        <f aca="false">IF($B309="","",C309*G309*(1-D309))</f>
        <v/>
      </c>
      <c r="I309" s="17" t="str">
        <f aca="false">IF($B309="","",C309*IFERROR(INDEX(Products!$E$2:$E$201,MATCH($B309,Products!$A$2:$A$201,0)),0))</f>
        <v/>
      </c>
      <c r="J309" s="17" t="str">
        <f aca="false">IF($B309="","",H309-I309)</f>
        <v/>
      </c>
      <c r="K309" s="16" t="str">
        <f aca="false">IF($A309="","",DATE(YEAR($A309),MONTH($A309),1))</f>
        <v/>
      </c>
    </row>
    <row r="310" customFormat="false" ht="15" hidden="false" customHeight="false" outlineLevel="0" collapsed="false">
      <c r="A310" s="25"/>
      <c r="B310" s="19"/>
      <c r="C310" s="19"/>
      <c r="D310" s="26"/>
      <c r="E310" s="27" t="str">
        <f aca="false">IF($B310="","",IFERROR(INDEX(Products!$B$2:$B$201,MATCH($B310,Products!$A$2:$A$201,0)),"Unknown code"))</f>
        <v/>
      </c>
      <c r="F310" s="22" t="str">
        <f aca="false">IF($B310="","",IFERROR(INDEX(Products!$C$2:$C$201,MATCH($B310,Products!$A$2:$A$201,0)),""))</f>
        <v/>
      </c>
      <c r="G310" s="17" t="str">
        <f aca="false">IF($B310="","",IFERROR(INDEX(Products!$D$2:$D$201,MATCH($B310,Products!$A$2:$A$201,0)),0))</f>
        <v/>
      </c>
      <c r="H310" s="17" t="str">
        <f aca="false">IF($B310="","",C310*G310*(1-D310))</f>
        <v/>
      </c>
      <c r="I310" s="17" t="str">
        <f aca="false">IF($B310="","",C310*IFERROR(INDEX(Products!$E$2:$E$201,MATCH($B310,Products!$A$2:$A$201,0)),0))</f>
        <v/>
      </c>
      <c r="J310" s="17" t="str">
        <f aca="false">IF($B310="","",H310-I310)</f>
        <v/>
      </c>
      <c r="K310" s="16" t="str">
        <f aca="false">IF($A310="","",DATE(YEAR($A310),MONTH($A310),1))</f>
        <v/>
      </c>
    </row>
    <row r="311" customFormat="false" ht="15" hidden="false" customHeight="false" outlineLevel="0" collapsed="false">
      <c r="A311" s="25"/>
      <c r="B311" s="19"/>
      <c r="C311" s="19"/>
      <c r="D311" s="26"/>
      <c r="E311" s="27" t="str">
        <f aca="false">IF($B311="","",IFERROR(INDEX(Products!$B$2:$B$201,MATCH($B311,Products!$A$2:$A$201,0)),"Unknown code"))</f>
        <v/>
      </c>
      <c r="F311" s="22" t="str">
        <f aca="false">IF($B311="","",IFERROR(INDEX(Products!$C$2:$C$201,MATCH($B311,Products!$A$2:$A$201,0)),""))</f>
        <v/>
      </c>
      <c r="G311" s="17" t="str">
        <f aca="false">IF($B311="","",IFERROR(INDEX(Products!$D$2:$D$201,MATCH($B311,Products!$A$2:$A$201,0)),0))</f>
        <v/>
      </c>
      <c r="H311" s="17" t="str">
        <f aca="false">IF($B311="","",C311*G311*(1-D311))</f>
        <v/>
      </c>
      <c r="I311" s="17" t="str">
        <f aca="false">IF($B311="","",C311*IFERROR(INDEX(Products!$E$2:$E$201,MATCH($B311,Products!$A$2:$A$201,0)),0))</f>
        <v/>
      </c>
      <c r="J311" s="17" t="str">
        <f aca="false">IF($B311="","",H311-I311)</f>
        <v/>
      </c>
      <c r="K311" s="16" t="str">
        <f aca="false">IF($A311="","",DATE(YEAR($A311),MONTH($A311),1))</f>
        <v/>
      </c>
    </row>
    <row r="312" customFormat="false" ht="15" hidden="false" customHeight="false" outlineLevel="0" collapsed="false">
      <c r="A312" s="25"/>
      <c r="B312" s="19"/>
      <c r="C312" s="19"/>
      <c r="D312" s="26"/>
      <c r="E312" s="27" t="str">
        <f aca="false">IF($B312="","",IFERROR(INDEX(Products!$B$2:$B$201,MATCH($B312,Products!$A$2:$A$201,0)),"Unknown code"))</f>
        <v/>
      </c>
      <c r="F312" s="22" t="str">
        <f aca="false">IF($B312="","",IFERROR(INDEX(Products!$C$2:$C$201,MATCH($B312,Products!$A$2:$A$201,0)),""))</f>
        <v/>
      </c>
      <c r="G312" s="17" t="str">
        <f aca="false">IF($B312="","",IFERROR(INDEX(Products!$D$2:$D$201,MATCH($B312,Products!$A$2:$A$201,0)),0))</f>
        <v/>
      </c>
      <c r="H312" s="17" t="str">
        <f aca="false">IF($B312="","",C312*G312*(1-D312))</f>
        <v/>
      </c>
      <c r="I312" s="17" t="str">
        <f aca="false">IF($B312="","",C312*IFERROR(INDEX(Products!$E$2:$E$201,MATCH($B312,Products!$A$2:$A$201,0)),0))</f>
        <v/>
      </c>
      <c r="J312" s="17" t="str">
        <f aca="false">IF($B312="","",H312-I312)</f>
        <v/>
      </c>
      <c r="K312" s="16" t="str">
        <f aca="false">IF($A312="","",DATE(YEAR($A312),MONTH($A312),1))</f>
        <v/>
      </c>
    </row>
    <row r="313" customFormat="false" ht="15" hidden="false" customHeight="false" outlineLevel="0" collapsed="false">
      <c r="A313" s="25"/>
      <c r="B313" s="19"/>
      <c r="C313" s="19"/>
      <c r="D313" s="26"/>
      <c r="E313" s="27" t="str">
        <f aca="false">IF($B313="","",IFERROR(INDEX(Products!$B$2:$B$201,MATCH($B313,Products!$A$2:$A$201,0)),"Unknown code"))</f>
        <v/>
      </c>
      <c r="F313" s="22" t="str">
        <f aca="false">IF($B313="","",IFERROR(INDEX(Products!$C$2:$C$201,MATCH($B313,Products!$A$2:$A$201,0)),""))</f>
        <v/>
      </c>
      <c r="G313" s="17" t="str">
        <f aca="false">IF($B313="","",IFERROR(INDEX(Products!$D$2:$D$201,MATCH($B313,Products!$A$2:$A$201,0)),0))</f>
        <v/>
      </c>
      <c r="H313" s="17" t="str">
        <f aca="false">IF($B313="","",C313*G313*(1-D313))</f>
        <v/>
      </c>
      <c r="I313" s="17" t="str">
        <f aca="false">IF($B313="","",C313*IFERROR(INDEX(Products!$E$2:$E$201,MATCH($B313,Products!$A$2:$A$201,0)),0))</f>
        <v/>
      </c>
      <c r="J313" s="17" t="str">
        <f aca="false">IF($B313="","",H313-I313)</f>
        <v/>
      </c>
      <c r="K313" s="16" t="str">
        <f aca="false">IF($A313="","",DATE(YEAR($A313),MONTH($A313),1))</f>
        <v/>
      </c>
    </row>
    <row r="314" customFormat="false" ht="15" hidden="false" customHeight="false" outlineLevel="0" collapsed="false">
      <c r="A314" s="25"/>
      <c r="B314" s="19"/>
      <c r="C314" s="19"/>
      <c r="D314" s="26"/>
      <c r="E314" s="27" t="str">
        <f aca="false">IF($B314="","",IFERROR(INDEX(Products!$B$2:$B$201,MATCH($B314,Products!$A$2:$A$201,0)),"Unknown code"))</f>
        <v/>
      </c>
      <c r="F314" s="22" t="str">
        <f aca="false">IF($B314="","",IFERROR(INDEX(Products!$C$2:$C$201,MATCH($B314,Products!$A$2:$A$201,0)),""))</f>
        <v/>
      </c>
      <c r="G314" s="17" t="str">
        <f aca="false">IF($B314="","",IFERROR(INDEX(Products!$D$2:$D$201,MATCH($B314,Products!$A$2:$A$201,0)),0))</f>
        <v/>
      </c>
      <c r="H314" s="17" t="str">
        <f aca="false">IF($B314="","",C314*G314*(1-D314))</f>
        <v/>
      </c>
      <c r="I314" s="17" t="str">
        <f aca="false">IF($B314="","",C314*IFERROR(INDEX(Products!$E$2:$E$201,MATCH($B314,Products!$A$2:$A$201,0)),0))</f>
        <v/>
      </c>
      <c r="J314" s="17" t="str">
        <f aca="false">IF($B314="","",H314-I314)</f>
        <v/>
      </c>
      <c r="K314" s="16" t="str">
        <f aca="false">IF($A314="","",DATE(YEAR($A314),MONTH($A314),1))</f>
        <v/>
      </c>
    </row>
    <row r="315" customFormat="false" ht="15" hidden="false" customHeight="false" outlineLevel="0" collapsed="false">
      <c r="A315" s="25"/>
      <c r="B315" s="19"/>
      <c r="C315" s="19"/>
      <c r="D315" s="26"/>
      <c r="E315" s="27" t="str">
        <f aca="false">IF($B315="","",IFERROR(INDEX(Products!$B$2:$B$201,MATCH($B315,Products!$A$2:$A$201,0)),"Unknown code"))</f>
        <v/>
      </c>
      <c r="F315" s="22" t="str">
        <f aca="false">IF($B315="","",IFERROR(INDEX(Products!$C$2:$C$201,MATCH($B315,Products!$A$2:$A$201,0)),""))</f>
        <v/>
      </c>
      <c r="G315" s="17" t="str">
        <f aca="false">IF($B315="","",IFERROR(INDEX(Products!$D$2:$D$201,MATCH($B315,Products!$A$2:$A$201,0)),0))</f>
        <v/>
      </c>
      <c r="H315" s="17" t="str">
        <f aca="false">IF($B315="","",C315*G315*(1-D315))</f>
        <v/>
      </c>
      <c r="I315" s="17" t="str">
        <f aca="false">IF($B315="","",C315*IFERROR(INDEX(Products!$E$2:$E$201,MATCH($B315,Products!$A$2:$A$201,0)),0))</f>
        <v/>
      </c>
      <c r="J315" s="17" t="str">
        <f aca="false">IF($B315="","",H315-I315)</f>
        <v/>
      </c>
      <c r="K315" s="16" t="str">
        <f aca="false">IF($A315="","",DATE(YEAR($A315),MONTH($A315),1))</f>
        <v/>
      </c>
    </row>
    <row r="316" customFormat="false" ht="15" hidden="false" customHeight="false" outlineLevel="0" collapsed="false">
      <c r="A316" s="25"/>
      <c r="B316" s="19"/>
      <c r="C316" s="19"/>
      <c r="D316" s="26"/>
      <c r="E316" s="27" t="str">
        <f aca="false">IF($B316="","",IFERROR(INDEX(Products!$B$2:$B$201,MATCH($B316,Products!$A$2:$A$201,0)),"Unknown code"))</f>
        <v/>
      </c>
      <c r="F316" s="22" t="str">
        <f aca="false">IF($B316="","",IFERROR(INDEX(Products!$C$2:$C$201,MATCH($B316,Products!$A$2:$A$201,0)),""))</f>
        <v/>
      </c>
      <c r="G316" s="17" t="str">
        <f aca="false">IF($B316="","",IFERROR(INDEX(Products!$D$2:$D$201,MATCH($B316,Products!$A$2:$A$201,0)),0))</f>
        <v/>
      </c>
      <c r="H316" s="17" t="str">
        <f aca="false">IF($B316="","",C316*G316*(1-D316))</f>
        <v/>
      </c>
      <c r="I316" s="17" t="str">
        <f aca="false">IF($B316="","",C316*IFERROR(INDEX(Products!$E$2:$E$201,MATCH($B316,Products!$A$2:$A$201,0)),0))</f>
        <v/>
      </c>
      <c r="J316" s="17" t="str">
        <f aca="false">IF($B316="","",H316-I316)</f>
        <v/>
      </c>
      <c r="K316" s="16" t="str">
        <f aca="false">IF($A316="","",DATE(YEAR($A316),MONTH($A316),1))</f>
        <v/>
      </c>
    </row>
    <row r="317" customFormat="false" ht="15" hidden="false" customHeight="false" outlineLevel="0" collapsed="false">
      <c r="A317" s="25"/>
      <c r="B317" s="19"/>
      <c r="C317" s="19"/>
      <c r="D317" s="26"/>
      <c r="E317" s="27" t="str">
        <f aca="false">IF($B317="","",IFERROR(INDEX(Products!$B$2:$B$201,MATCH($B317,Products!$A$2:$A$201,0)),"Unknown code"))</f>
        <v/>
      </c>
      <c r="F317" s="22" t="str">
        <f aca="false">IF($B317="","",IFERROR(INDEX(Products!$C$2:$C$201,MATCH($B317,Products!$A$2:$A$201,0)),""))</f>
        <v/>
      </c>
      <c r="G317" s="17" t="str">
        <f aca="false">IF($B317="","",IFERROR(INDEX(Products!$D$2:$D$201,MATCH($B317,Products!$A$2:$A$201,0)),0))</f>
        <v/>
      </c>
      <c r="H317" s="17" t="str">
        <f aca="false">IF($B317="","",C317*G317*(1-D317))</f>
        <v/>
      </c>
      <c r="I317" s="17" t="str">
        <f aca="false">IF($B317="","",C317*IFERROR(INDEX(Products!$E$2:$E$201,MATCH($B317,Products!$A$2:$A$201,0)),0))</f>
        <v/>
      </c>
      <c r="J317" s="17" t="str">
        <f aca="false">IF($B317="","",H317-I317)</f>
        <v/>
      </c>
      <c r="K317" s="16" t="str">
        <f aca="false">IF($A317="","",DATE(YEAR($A317),MONTH($A317),1))</f>
        <v/>
      </c>
    </row>
    <row r="318" customFormat="false" ht="15" hidden="false" customHeight="false" outlineLevel="0" collapsed="false">
      <c r="A318" s="25"/>
      <c r="B318" s="19"/>
      <c r="C318" s="19"/>
      <c r="D318" s="26"/>
      <c r="E318" s="27" t="str">
        <f aca="false">IF($B318="","",IFERROR(INDEX(Products!$B$2:$B$201,MATCH($B318,Products!$A$2:$A$201,0)),"Unknown code"))</f>
        <v/>
      </c>
      <c r="F318" s="22" t="str">
        <f aca="false">IF($B318="","",IFERROR(INDEX(Products!$C$2:$C$201,MATCH($B318,Products!$A$2:$A$201,0)),""))</f>
        <v/>
      </c>
      <c r="G318" s="17" t="str">
        <f aca="false">IF($B318="","",IFERROR(INDEX(Products!$D$2:$D$201,MATCH($B318,Products!$A$2:$A$201,0)),0))</f>
        <v/>
      </c>
      <c r="H318" s="17" t="str">
        <f aca="false">IF($B318="","",C318*G318*(1-D318))</f>
        <v/>
      </c>
      <c r="I318" s="17" t="str">
        <f aca="false">IF($B318="","",C318*IFERROR(INDEX(Products!$E$2:$E$201,MATCH($B318,Products!$A$2:$A$201,0)),0))</f>
        <v/>
      </c>
      <c r="J318" s="17" t="str">
        <f aca="false">IF($B318="","",H318-I318)</f>
        <v/>
      </c>
      <c r="K318" s="16" t="str">
        <f aca="false">IF($A318="","",DATE(YEAR($A318),MONTH($A318),1))</f>
        <v/>
      </c>
    </row>
    <row r="319" customFormat="false" ht="15" hidden="false" customHeight="false" outlineLevel="0" collapsed="false">
      <c r="A319" s="25"/>
      <c r="B319" s="19"/>
      <c r="C319" s="19"/>
      <c r="D319" s="26"/>
      <c r="E319" s="27" t="str">
        <f aca="false">IF($B319="","",IFERROR(INDEX(Products!$B$2:$B$201,MATCH($B319,Products!$A$2:$A$201,0)),"Unknown code"))</f>
        <v/>
      </c>
      <c r="F319" s="22" t="str">
        <f aca="false">IF($B319="","",IFERROR(INDEX(Products!$C$2:$C$201,MATCH($B319,Products!$A$2:$A$201,0)),""))</f>
        <v/>
      </c>
      <c r="G319" s="17" t="str">
        <f aca="false">IF($B319="","",IFERROR(INDEX(Products!$D$2:$D$201,MATCH($B319,Products!$A$2:$A$201,0)),0))</f>
        <v/>
      </c>
      <c r="H319" s="17" t="str">
        <f aca="false">IF($B319="","",C319*G319*(1-D319))</f>
        <v/>
      </c>
      <c r="I319" s="17" t="str">
        <f aca="false">IF($B319="","",C319*IFERROR(INDEX(Products!$E$2:$E$201,MATCH($B319,Products!$A$2:$A$201,0)),0))</f>
        <v/>
      </c>
      <c r="J319" s="17" t="str">
        <f aca="false">IF($B319="","",H319-I319)</f>
        <v/>
      </c>
      <c r="K319" s="16" t="str">
        <f aca="false">IF($A319="","",DATE(YEAR($A319),MONTH($A319),1))</f>
        <v/>
      </c>
    </row>
    <row r="320" customFormat="false" ht="15" hidden="false" customHeight="false" outlineLevel="0" collapsed="false">
      <c r="A320" s="25"/>
      <c r="B320" s="19"/>
      <c r="C320" s="19"/>
      <c r="D320" s="26"/>
      <c r="E320" s="27" t="str">
        <f aca="false">IF($B320="","",IFERROR(INDEX(Products!$B$2:$B$201,MATCH($B320,Products!$A$2:$A$201,0)),"Unknown code"))</f>
        <v/>
      </c>
      <c r="F320" s="22" t="str">
        <f aca="false">IF($B320="","",IFERROR(INDEX(Products!$C$2:$C$201,MATCH($B320,Products!$A$2:$A$201,0)),""))</f>
        <v/>
      </c>
      <c r="G320" s="17" t="str">
        <f aca="false">IF($B320="","",IFERROR(INDEX(Products!$D$2:$D$201,MATCH($B320,Products!$A$2:$A$201,0)),0))</f>
        <v/>
      </c>
      <c r="H320" s="17" t="str">
        <f aca="false">IF($B320="","",C320*G320*(1-D320))</f>
        <v/>
      </c>
      <c r="I320" s="17" t="str">
        <f aca="false">IF($B320="","",C320*IFERROR(INDEX(Products!$E$2:$E$201,MATCH($B320,Products!$A$2:$A$201,0)),0))</f>
        <v/>
      </c>
      <c r="J320" s="17" t="str">
        <f aca="false">IF($B320="","",H320-I320)</f>
        <v/>
      </c>
      <c r="K320" s="16" t="str">
        <f aca="false">IF($A320="","",DATE(YEAR($A320),MONTH($A320),1))</f>
        <v/>
      </c>
    </row>
    <row r="321" customFormat="false" ht="15" hidden="false" customHeight="false" outlineLevel="0" collapsed="false">
      <c r="A321" s="25"/>
      <c r="B321" s="19"/>
      <c r="C321" s="19"/>
      <c r="D321" s="26"/>
      <c r="E321" s="27" t="str">
        <f aca="false">IF($B321="","",IFERROR(INDEX(Products!$B$2:$B$201,MATCH($B321,Products!$A$2:$A$201,0)),"Unknown code"))</f>
        <v/>
      </c>
      <c r="F321" s="22" t="str">
        <f aca="false">IF($B321="","",IFERROR(INDEX(Products!$C$2:$C$201,MATCH($B321,Products!$A$2:$A$201,0)),""))</f>
        <v/>
      </c>
      <c r="G321" s="17" t="str">
        <f aca="false">IF($B321="","",IFERROR(INDEX(Products!$D$2:$D$201,MATCH($B321,Products!$A$2:$A$201,0)),0))</f>
        <v/>
      </c>
      <c r="H321" s="17" t="str">
        <f aca="false">IF($B321="","",C321*G321*(1-D321))</f>
        <v/>
      </c>
      <c r="I321" s="17" t="str">
        <f aca="false">IF($B321="","",C321*IFERROR(INDEX(Products!$E$2:$E$201,MATCH($B321,Products!$A$2:$A$201,0)),0))</f>
        <v/>
      </c>
      <c r="J321" s="17" t="str">
        <f aca="false">IF($B321="","",H321-I321)</f>
        <v/>
      </c>
      <c r="K321" s="16" t="str">
        <f aca="false">IF($A321="","",DATE(YEAR($A321),MONTH($A321),1))</f>
        <v/>
      </c>
    </row>
    <row r="322" customFormat="false" ht="15" hidden="false" customHeight="false" outlineLevel="0" collapsed="false">
      <c r="A322" s="25"/>
      <c r="B322" s="19"/>
      <c r="C322" s="19"/>
      <c r="D322" s="26"/>
      <c r="E322" s="27" t="str">
        <f aca="false">IF($B322="","",IFERROR(INDEX(Products!$B$2:$B$201,MATCH($B322,Products!$A$2:$A$201,0)),"Unknown code"))</f>
        <v/>
      </c>
      <c r="F322" s="22" t="str">
        <f aca="false">IF($B322="","",IFERROR(INDEX(Products!$C$2:$C$201,MATCH($B322,Products!$A$2:$A$201,0)),""))</f>
        <v/>
      </c>
      <c r="G322" s="17" t="str">
        <f aca="false">IF($B322="","",IFERROR(INDEX(Products!$D$2:$D$201,MATCH($B322,Products!$A$2:$A$201,0)),0))</f>
        <v/>
      </c>
      <c r="H322" s="17" t="str">
        <f aca="false">IF($B322="","",C322*G322*(1-D322))</f>
        <v/>
      </c>
      <c r="I322" s="17" t="str">
        <f aca="false">IF($B322="","",C322*IFERROR(INDEX(Products!$E$2:$E$201,MATCH($B322,Products!$A$2:$A$201,0)),0))</f>
        <v/>
      </c>
      <c r="J322" s="17" t="str">
        <f aca="false">IF($B322="","",H322-I322)</f>
        <v/>
      </c>
      <c r="K322" s="16" t="str">
        <f aca="false">IF($A322="","",DATE(YEAR($A322),MONTH($A322),1))</f>
        <v/>
      </c>
    </row>
    <row r="323" customFormat="false" ht="15" hidden="false" customHeight="false" outlineLevel="0" collapsed="false">
      <c r="A323" s="25"/>
      <c r="B323" s="19"/>
      <c r="C323" s="19"/>
      <c r="D323" s="26"/>
      <c r="E323" s="27" t="str">
        <f aca="false">IF($B323="","",IFERROR(INDEX(Products!$B$2:$B$201,MATCH($B323,Products!$A$2:$A$201,0)),"Unknown code"))</f>
        <v/>
      </c>
      <c r="F323" s="22" t="str">
        <f aca="false">IF($B323="","",IFERROR(INDEX(Products!$C$2:$C$201,MATCH($B323,Products!$A$2:$A$201,0)),""))</f>
        <v/>
      </c>
      <c r="G323" s="17" t="str">
        <f aca="false">IF($B323="","",IFERROR(INDEX(Products!$D$2:$D$201,MATCH($B323,Products!$A$2:$A$201,0)),0))</f>
        <v/>
      </c>
      <c r="H323" s="17" t="str">
        <f aca="false">IF($B323="","",C323*G323*(1-D323))</f>
        <v/>
      </c>
      <c r="I323" s="17" t="str">
        <f aca="false">IF($B323="","",C323*IFERROR(INDEX(Products!$E$2:$E$201,MATCH($B323,Products!$A$2:$A$201,0)),0))</f>
        <v/>
      </c>
      <c r="J323" s="17" t="str">
        <f aca="false">IF($B323="","",H323-I323)</f>
        <v/>
      </c>
      <c r="K323" s="16" t="str">
        <f aca="false">IF($A323="","",DATE(YEAR($A323),MONTH($A323),1))</f>
        <v/>
      </c>
    </row>
    <row r="324" customFormat="false" ht="15" hidden="false" customHeight="false" outlineLevel="0" collapsed="false">
      <c r="A324" s="25"/>
      <c r="B324" s="19"/>
      <c r="C324" s="19"/>
      <c r="D324" s="26"/>
      <c r="E324" s="27" t="str">
        <f aca="false">IF($B324="","",IFERROR(INDEX(Products!$B$2:$B$201,MATCH($B324,Products!$A$2:$A$201,0)),"Unknown code"))</f>
        <v/>
      </c>
      <c r="F324" s="22" t="str">
        <f aca="false">IF($B324="","",IFERROR(INDEX(Products!$C$2:$C$201,MATCH($B324,Products!$A$2:$A$201,0)),""))</f>
        <v/>
      </c>
      <c r="G324" s="17" t="str">
        <f aca="false">IF($B324="","",IFERROR(INDEX(Products!$D$2:$D$201,MATCH($B324,Products!$A$2:$A$201,0)),0))</f>
        <v/>
      </c>
      <c r="H324" s="17" t="str">
        <f aca="false">IF($B324="","",C324*G324*(1-D324))</f>
        <v/>
      </c>
      <c r="I324" s="17" t="str">
        <f aca="false">IF($B324="","",C324*IFERROR(INDEX(Products!$E$2:$E$201,MATCH($B324,Products!$A$2:$A$201,0)),0))</f>
        <v/>
      </c>
      <c r="J324" s="17" t="str">
        <f aca="false">IF($B324="","",H324-I324)</f>
        <v/>
      </c>
      <c r="K324" s="16" t="str">
        <f aca="false">IF($A324="","",DATE(YEAR($A324),MONTH($A324),1))</f>
        <v/>
      </c>
    </row>
    <row r="325" customFormat="false" ht="15" hidden="false" customHeight="false" outlineLevel="0" collapsed="false">
      <c r="A325" s="25"/>
      <c r="B325" s="19"/>
      <c r="C325" s="19"/>
      <c r="D325" s="26"/>
      <c r="E325" s="27" t="str">
        <f aca="false">IF($B325="","",IFERROR(INDEX(Products!$B$2:$B$201,MATCH($B325,Products!$A$2:$A$201,0)),"Unknown code"))</f>
        <v/>
      </c>
      <c r="F325" s="22" t="str">
        <f aca="false">IF($B325="","",IFERROR(INDEX(Products!$C$2:$C$201,MATCH($B325,Products!$A$2:$A$201,0)),""))</f>
        <v/>
      </c>
      <c r="G325" s="17" t="str">
        <f aca="false">IF($B325="","",IFERROR(INDEX(Products!$D$2:$D$201,MATCH($B325,Products!$A$2:$A$201,0)),0))</f>
        <v/>
      </c>
      <c r="H325" s="17" t="str">
        <f aca="false">IF($B325="","",C325*G325*(1-D325))</f>
        <v/>
      </c>
      <c r="I325" s="17" t="str">
        <f aca="false">IF($B325="","",C325*IFERROR(INDEX(Products!$E$2:$E$201,MATCH($B325,Products!$A$2:$A$201,0)),0))</f>
        <v/>
      </c>
      <c r="J325" s="17" t="str">
        <f aca="false">IF($B325="","",H325-I325)</f>
        <v/>
      </c>
      <c r="K325" s="16" t="str">
        <f aca="false">IF($A325="","",DATE(YEAR($A325),MONTH($A325),1))</f>
        <v/>
      </c>
    </row>
    <row r="326" customFormat="false" ht="15" hidden="false" customHeight="false" outlineLevel="0" collapsed="false">
      <c r="A326" s="25"/>
      <c r="B326" s="19"/>
      <c r="C326" s="19"/>
      <c r="D326" s="26"/>
      <c r="E326" s="27" t="str">
        <f aca="false">IF($B326="","",IFERROR(INDEX(Products!$B$2:$B$201,MATCH($B326,Products!$A$2:$A$201,0)),"Unknown code"))</f>
        <v/>
      </c>
      <c r="F326" s="22" t="str">
        <f aca="false">IF($B326="","",IFERROR(INDEX(Products!$C$2:$C$201,MATCH($B326,Products!$A$2:$A$201,0)),""))</f>
        <v/>
      </c>
      <c r="G326" s="17" t="str">
        <f aca="false">IF($B326="","",IFERROR(INDEX(Products!$D$2:$D$201,MATCH($B326,Products!$A$2:$A$201,0)),0))</f>
        <v/>
      </c>
      <c r="H326" s="17" t="str">
        <f aca="false">IF($B326="","",C326*G326*(1-D326))</f>
        <v/>
      </c>
      <c r="I326" s="17" t="str">
        <f aca="false">IF($B326="","",C326*IFERROR(INDEX(Products!$E$2:$E$201,MATCH($B326,Products!$A$2:$A$201,0)),0))</f>
        <v/>
      </c>
      <c r="J326" s="17" t="str">
        <f aca="false">IF($B326="","",H326-I326)</f>
        <v/>
      </c>
      <c r="K326" s="16" t="str">
        <f aca="false">IF($A326="","",DATE(YEAR($A326),MONTH($A326),1))</f>
        <v/>
      </c>
    </row>
    <row r="327" customFormat="false" ht="15" hidden="false" customHeight="false" outlineLevel="0" collapsed="false">
      <c r="A327" s="25"/>
      <c r="B327" s="19"/>
      <c r="C327" s="19"/>
      <c r="D327" s="26"/>
      <c r="E327" s="27" t="str">
        <f aca="false">IF($B327="","",IFERROR(INDEX(Products!$B$2:$B$201,MATCH($B327,Products!$A$2:$A$201,0)),"Unknown code"))</f>
        <v/>
      </c>
      <c r="F327" s="22" t="str">
        <f aca="false">IF($B327="","",IFERROR(INDEX(Products!$C$2:$C$201,MATCH($B327,Products!$A$2:$A$201,0)),""))</f>
        <v/>
      </c>
      <c r="G327" s="17" t="str">
        <f aca="false">IF($B327="","",IFERROR(INDEX(Products!$D$2:$D$201,MATCH($B327,Products!$A$2:$A$201,0)),0))</f>
        <v/>
      </c>
      <c r="H327" s="17" t="str">
        <f aca="false">IF($B327="","",C327*G327*(1-D327))</f>
        <v/>
      </c>
      <c r="I327" s="17" t="str">
        <f aca="false">IF($B327="","",C327*IFERROR(INDEX(Products!$E$2:$E$201,MATCH($B327,Products!$A$2:$A$201,0)),0))</f>
        <v/>
      </c>
      <c r="J327" s="17" t="str">
        <f aca="false">IF($B327="","",H327-I327)</f>
        <v/>
      </c>
      <c r="K327" s="16" t="str">
        <f aca="false">IF($A327="","",DATE(YEAR($A327),MONTH($A327),1))</f>
        <v/>
      </c>
    </row>
    <row r="328" customFormat="false" ht="15" hidden="false" customHeight="false" outlineLevel="0" collapsed="false">
      <c r="A328" s="25"/>
      <c r="B328" s="19"/>
      <c r="C328" s="19"/>
      <c r="D328" s="26"/>
      <c r="E328" s="27" t="str">
        <f aca="false">IF($B328="","",IFERROR(INDEX(Products!$B$2:$B$201,MATCH($B328,Products!$A$2:$A$201,0)),"Unknown code"))</f>
        <v/>
      </c>
      <c r="F328" s="22" t="str">
        <f aca="false">IF($B328="","",IFERROR(INDEX(Products!$C$2:$C$201,MATCH($B328,Products!$A$2:$A$201,0)),""))</f>
        <v/>
      </c>
      <c r="G328" s="17" t="str">
        <f aca="false">IF($B328="","",IFERROR(INDEX(Products!$D$2:$D$201,MATCH($B328,Products!$A$2:$A$201,0)),0))</f>
        <v/>
      </c>
      <c r="H328" s="17" t="str">
        <f aca="false">IF($B328="","",C328*G328*(1-D328))</f>
        <v/>
      </c>
      <c r="I328" s="17" t="str">
        <f aca="false">IF($B328="","",C328*IFERROR(INDEX(Products!$E$2:$E$201,MATCH($B328,Products!$A$2:$A$201,0)),0))</f>
        <v/>
      </c>
      <c r="J328" s="17" t="str">
        <f aca="false">IF($B328="","",H328-I328)</f>
        <v/>
      </c>
      <c r="K328" s="16" t="str">
        <f aca="false">IF($A328="","",DATE(YEAR($A328),MONTH($A328),1))</f>
        <v/>
      </c>
    </row>
    <row r="329" customFormat="false" ht="15" hidden="false" customHeight="false" outlineLevel="0" collapsed="false">
      <c r="A329" s="25"/>
      <c r="B329" s="19"/>
      <c r="C329" s="19"/>
      <c r="D329" s="26"/>
      <c r="E329" s="27" t="str">
        <f aca="false">IF($B329="","",IFERROR(INDEX(Products!$B$2:$B$201,MATCH($B329,Products!$A$2:$A$201,0)),"Unknown code"))</f>
        <v/>
      </c>
      <c r="F329" s="22" t="str">
        <f aca="false">IF($B329="","",IFERROR(INDEX(Products!$C$2:$C$201,MATCH($B329,Products!$A$2:$A$201,0)),""))</f>
        <v/>
      </c>
      <c r="G329" s="17" t="str">
        <f aca="false">IF($B329="","",IFERROR(INDEX(Products!$D$2:$D$201,MATCH($B329,Products!$A$2:$A$201,0)),0))</f>
        <v/>
      </c>
      <c r="H329" s="17" t="str">
        <f aca="false">IF($B329="","",C329*G329*(1-D329))</f>
        <v/>
      </c>
      <c r="I329" s="17" t="str">
        <f aca="false">IF($B329="","",C329*IFERROR(INDEX(Products!$E$2:$E$201,MATCH($B329,Products!$A$2:$A$201,0)),0))</f>
        <v/>
      </c>
      <c r="J329" s="17" t="str">
        <f aca="false">IF($B329="","",H329-I329)</f>
        <v/>
      </c>
      <c r="K329" s="16" t="str">
        <f aca="false">IF($A329="","",DATE(YEAR($A329),MONTH($A329),1))</f>
        <v/>
      </c>
    </row>
    <row r="330" customFormat="false" ht="15" hidden="false" customHeight="false" outlineLevel="0" collapsed="false">
      <c r="A330" s="25"/>
      <c r="B330" s="19"/>
      <c r="C330" s="19"/>
      <c r="D330" s="26"/>
      <c r="E330" s="27" t="str">
        <f aca="false">IF($B330="","",IFERROR(INDEX(Products!$B$2:$B$201,MATCH($B330,Products!$A$2:$A$201,0)),"Unknown code"))</f>
        <v/>
      </c>
      <c r="F330" s="22" t="str">
        <f aca="false">IF($B330="","",IFERROR(INDEX(Products!$C$2:$C$201,MATCH($B330,Products!$A$2:$A$201,0)),""))</f>
        <v/>
      </c>
      <c r="G330" s="17" t="str">
        <f aca="false">IF($B330="","",IFERROR(INDEX(Products!$D$2:$D$201,MATCH($B330,Products!$A$2:$A$201,0)),0))</f>
        <v/>
      </c>
      <c r="H330" s="17" t="str">
        <f aca="false">IF($B330="","",C330*G330*(1-D330))</f>
        <v/>
      </c>
      <c r="I330" s="17" t="str">
        <f aca="false">IF($B330="","",C330*IFERROR(INDEX(Products!$E$2:$E$201,MATCH($B330,Products!$A$2:$A$201,0)),0))</f>
        <v/>
      </c>
      <c r="J330" s="17" t="str">
        <f aca="false">IF($B330="","",H330-I330)</f>
        <v/>
      </c>
      <c r="K330" s="16" t="str">
        <f aca="false">IF($A330="","",DATE(YEAR($A330),MONTH($A330),1))</f>
        <v/>
      </c>
    </row>
    <row r="331" customFormat="false" ht="15" hidden="false" customHeight="false" outlineLevel="0" collapsed="false">
      <c r="A331" s="25"/>
      <c r="B331" s="19"/>
      <c r="C331" s="19"/>
      <c r="D331" s="26"/>
      <c r="E331" s="27" t="str">
        <f aca="false">IF($B331="","",IFERROR(INDEX(Products!$B$2:$B$201,MATCH($B331,Products!$A$2:$A$201,0)),"Unknown code"))</f>
        <v/>
      </c>
      <c r="F331" s="22" t="str">
        <f aca="false">IF($B331="","",IFERROR(INDEX(Products!$C$2:$C$201,MATCH($B331,Products!$A$2:$A$201,0)),""))</f>
        <v/>
      </c>
      <c r="G331" s="17" t="str">
        <f aca="false">IF($B331="","",IFERROR(INDEX(Products!$D$2:$D$201,MATCH($B331,Products!$A$2:$A$201,0)),0))</f>
        <v/>
      </c>
      <c r="H331" s="17" t="str">
        <f aca="false">IF($B331="","",C331*G331*(1-D331))</f>
        <v/>
      </c>
      <c r="I331" s="17" t="str">
        <f aca="false">IF($B331="","",C331*IFERROR(INDEX(Products!$E$2:$E$201,MATCH($B331,Products!$A$2:$A$201,0)),0))</f>
        <v/>
      </c>
      <c r="J331" s="17" t="str">
        <f aca="false">IF($B331="","",H331-I331)</f>
        <v/>
      </c>
      <c r="K331" s="16" t="str">
        <f aca="false">IF($A331="","",DATE(YEAR($A331),MONTH($A331),1))</f>
        <v/>
      </c>
    </row>
    <row r="332" customFormat="false" ht="15" hidden="false" customHeight="false" outlineLevel="0" collapsed="false">
      <c r="A332" s="25"/>
      <c r="B332" s="19"/>
      <c r="C332" s="19"/>
      <c r="D332" s="26"/>
      <c r="E332" s="27" t="str">
        <f aca="false">IF($B332="","",IFERROR(INDEX(Products!$B$2:$B$201,MATCH($B332,Products!$A$2:$A$201,0)),"Unknown code"))</f>
        <v/>
      </c>
      <c r="F332" s="22" t="str">
        <f aca="false">IF($B332="","",IFERROR(INDEX(Products!$C$2:$C$201,MATCH($B332,Products!$A$2:$A$201,0)),""))</f>
        <v/>
      </c>
      <c r="G332" s="17" t="str">
        <f aca="false">IF($B332="","",IFERROR(INDEX(Products!$D$2:$D$201,MATCH($B332,Products!$A$2:$A$201,0)),0))</f>
        <v/>
      </c>
      <c r="H332" s="17" t="str">
        <f aca="false">IF($B332="","",C332*G332*(1-D332))</f>
        <v/>
      </c>
      <c r="I332" s="17" t="str">
        <f aca="false">IF($B332="","",C332*IFERROR(INDEX(Products!$E$2:$E$201,MATCH($B332,Products!$A$2:$A$201,0)),0))</f>
        <v/>
      </c>
      <c r="J332" s="17" t="str">
        <f aca="false">IF($B332="","",H332-I332)</f>
        <v/>
      </c>
      <c r="K332" s="16" t="str">
        <f aca="false">IF($A332="","",DATE(YEAR($A332),MONTH($A332),1))</f>
        <v/>
      </c>
    </row>
    <row r="333" customFormat="false" ht="15" hidden="false" customHeight="false" outlineLevel="0" collapsed="false">
      <c r="A333" s="25"/>
      <c r="B333" s="19"/>
      <c r="C333" s="19"/>
      <c r="D333" s="26"/>
      <c r="E333" s="27" t="str">
        <f aca="false">IF($B333="","",IFERROR(INDEX(Products!$B$2:$B$201,MATCH($B333,Products!$A$2:$A$201,0)),"Unknown code"))</f>
        <v/>
      </c>
      <c r="F333" s="22" t="str">
        <f aca="false">IF($B333="","",IFERROR(INDEX(Products!$C$2:$C$201,MATCH($B333,Products!$A$2:$A$201,0)),""))</f>
        <v/>
      </c>
      <c r="G333" s="17" t="str">
        <f aca="false">IF($B333="","",IFERROR(INDEX(Products!$D$2:$D$201,MATCH($B333,Products!$A$2:$A$201,0)),0))</f>
        <v/>
      </c>
      <c r="H333" s="17" t="str">
        <f aca="false">IF($B333="","",C333*G333*(1-D333))</f>
        <v/>
      </c>
      <c r="I333" s="17" t="str">
        <f aca="false">IF($B333="","",C333*IFERROR(INDEX(Products!$E$2:$E$201,MATCH($B333,Products!$A$2:$A$201,0)),0))</f>
        <v/>
      </c>
      <c r="J333" s="17" t="str">
        <f aca="false">IF($B333="","",H333-I333)</f>
        <v/>
      </c>
      <c r="K333" s="16" t="str">
        <f aca="false">IF($A333="","",DATE(YEAR($A333),MONTH($A333),1))</f>
        <v/>
      </c>
    </row>
    <row r="334" customFormat="false" ht="15" hidden="false" customHeight="false" outlineLevel="0" collapsed="false">
      <c r="A334" s="25"/>
      <c r="B334" s="19"/>
      <c r="C334" s="19"/>
      <c r="D334" s="26"/>
      <c r="E334" s="27" t="str">
        <f aca="false">IF($B334="","",IFERROR(INDEX(Products!$B$2:$B$201,MATCH($B334,Products!$A$2:$A$201,0)),"Unknown code"))</f>
        <v/>
      </c>
      <c r="F334" s="22" t="str">
        <f aca="false">IF($B334="","",IFERROR(INDEX(Products!$C$2:$C$201,MATCH($B334,Products!$A$2:$A$201,0)),""))</f>
        <v/>
      </c>
      <c r="G334" s="17" t="str">
        <f aca="false">IF($B334="","",IFERROR(INDEX(Products!$D$2:$D$201,MATCH($B334,Products!$A$2:$A$201,0)),0))</f>
        <v/>
      </c>
      <c r="H334" s="17" t="str">
        <f aca="false">IF($B334="","",C334*G334*(1-D334))</f>
        <v/>
      </c>
      <c r="I334" s="17" t="str">
        <f aca="false">IF($B334="","",C334*IFERROR(INDEX(Products!$E$2:$E$201,MATCH($B334,Products!$A$2:$A$201,0)),0))</f>
        <v/>
      </c>
      <c r="J334" s="17" t="str">
        <f aca="false">IF($B334="","",H334-I334)</f>
        <v/>
      </c>
      <c r="K334" s="16" t="str">
        <f aca="false">IF($A334="","",DATE(YEAR($A334),MONTH($A334),1))</f>
        <v/>
      </c>
    </row>
    <row r="335" customFormat="false" ht="15" hidden="false" customHeight="false" outlineLevel="0" collapsed="false">
      <c r="A335" s="25"/>
      <c r="B335" s="19"/>
      <c r="C335" s="19"/>
      <c r="D335" s="26"/>
      <c r="E335" s="27" t="str">
        <f aca="false">IF($B335="","",IFERROR(INDEX(Products!$B$2:$B$201,MATCH($B335,Products!$A$2:$A$201,0)),"Unknown code"))</f>
        <v/>
      </c>
      <c r="F335" s="22" t="str">
        <f aca="false">IF($B335="","",IFERROR(INDEX(Products!$C$2:$C$201,MATCH($B335,Products!$A$2:$A$201,0)),""))</f>
        <v/>
      </c>
      <c r="G335" s="17" t="str">
        <f aca="false">IF($B335="","",IFERROR(INDEX(Products!$D$2:$D$201,MATCH($B335,Products!$A$2:$A$201,0)),0))</f>
        <v/>
      </c>
      <c r="H335" s="17" t="str">
        <f aca="false">IF($B335="","",C335*G335*(1-D335))</f>
        <v/>
      </c>
      <c r="I335" s="17" t="str">
        <f aca="false">IF($B335="","",C335*IFERROR(INDEX(Products!$E$2:$E$201,MATCH($B335,Products!$A$2:$A$201,0)),0))</f>
        <v/>
      </c>
      <c r="J335" s="17" t="str">
        <f aca="false">IF($B335="","",H335-I335)</f>
        <v/>
      </c>
      <c r="K335" s="16" t="str">
        <f aca="false">IF($A335="","",DATE(YEAR($A335),MONTH($A335),1))</f>
        <v/>
      </c>
    </row>
    <row r="336" customFormat="false" ht="15" hidden="false" customHeight="false" outlineLevel="0" collapsed="false">
      <c r="A336" s="25"/>
      <c r="B336" s="19"/>
      <c r="C336" s="19"/>
      <c r="D336" s="26"/>
      <c r="E336" s="27" t="str">
        <f aca="false">IF($B336="","",IFERROR(INDEX(Products!$B$2:$B$201,MATCH($B336,Products!$A$2:$A$201,0)),"Unknown code"))</f>
        <v/>
      </c>
      <c r="F336" s="22" t="str">
        <f aca="false">IF($B336="","",IFERROR(INDEX(Products!$C$2:$C$201,MATCH($B336,Products!$A$2:$A$201,0)),""))</f>
        <v/>
      </c>
      <c r="G336" s="17" t="str">
        <f aca="false">IF($B336="","",IFERROR(INDEX(Products!$D$2:$D$201,MATCH($B336,Products!$A$2:$A$201,0)),0))</f>
        <v/>
      </c>
      <c r="H336" s="17" t="str">
        <f aca="false">IF($B336="","",C336*G336*(1-D336))</f>
        <v/>
      </c>
      <c r="I336" s="17" t="str">
        <f aca="false">IF($B336="","",C336*IFERROR(INDEX(Products!$E$2:$E$201,MATCH($B336,Products!$A$2:$A$201,0)),0))</f>
        <v/>
      </c>
      <c r="J336" s="17" t="str">
        <f aca="false">IF($B336="","",H336-I336)</f>
        <v/>
      </c>
      <c r="K336" s="16" t="str">
        <f aca="false">IF($A336="","",DATE(YEAR($A336),MONTH($A336),1))</f>
        <v/>
      </c>
    </row>
    <row r="337" customFormat="false" ht="15" hidden="false" customHeight="false" outlineLevel="0" collapsed="false">
      <c r="A337" s="25"/>
      <c r="B337" s="19"/>
      <c r="C337" s="19"/>
      <c r="D337" s="26"/>
      <c r="E337" s="27" t="str">
        <f aca="false">IF($B337="","",IFERROR(INDEX(Products!$B$2:$B$201,MATCH($B337,Products!$A$2:$A$201,0)),"Unknown code"))</f>
        <v/>
      </c>
      <c r="F337" s="22" t="str">
        <f aca="false">IF($B337="","",IFERROR(INDEX(Products!$C$2:$C$201,MATCH($B337,Products!$A$2:$A$201,0)),""))</f>
        <v/>
      </c>
      <c r="G337" s="17" t="str">
        <f aca="false">IF($B337="","",IFERROR(INDEX(Products!$D$2:$D$201,MATCH($B337,Products!$A$2:$A$201,0)),0))</f>
        <v/>
      </c>
      <c r="H337" s="17" t="str">
        <f aca="false">IF($B337="","",C337*G337*(1-D337))</f>
        <v/>
      </c>
      <c r="I337" s="17" t="str">
        <f aca="false">IF($B337="","",C337*IFERROR(INDEX(Products!$E$2:$E$201,MATCH($B337,Products!$A$2:$A$201,0)),0))</f>
        <v/>
      </c>
      <c r="J337" s="17" t="str">
        <f aca="false">IF($B337="","",H337-I337)</f>
        <v/>
      </c>
      <c r="K337" s="16" t="str">
        <f aca="false">IF($A337="","",DATE(YEAR($A337),MONTH($A337),1))</f>
        <v/>
      </c>
    </row>
    <row r="338" customFormat="false" ht="15" hidden="false" customHeight="false" outlineLevel="0" collapsed="false">
      <c r="A338" s="25"/>
      <c r="B338" s="19"/>
      <c r="C338" s="19"/>
      <c r="D338" s="26"/>
      <c r="E338" s="27" t="str">
        <f aca="false">IF($B338="","",IFERROR(INDEX(Products!$B$2:$B$201,MATCH($B338,Products!$A$2:$A$201,0)),"Unknown code"))</f>
        <v/>
      </c>
      <c r="F338" s="22" t="str">
        <f aca="false">IF($B338="","",IFERROR(INDEX(Products!$C$2:$C$201,MATCH($B338,Products!$A$2:$A$201,0)),""))</f>
        <v/>
      </c>
      <c r="G338" s="17" t="str">
        <f aca="false">IF($B338="","",IFERROR(INDEX(Products!$D$2:$D$201,MATCH($B338,Products!$A$2:$A$201,0)),0))</f>
        <v/>
      </c>
      <c r="H338" s="17" t="str">
        <f aca="false">IF($B338="","",C338*G338*(1-D338))</f>
        <v/>
      </c>
      <c r="I338" s="17" t="str">
        <f aca="false">IF($B338="","",C338*IFERROR(INDEX(Products!$E$2:$E$201,MATCH($B338,Products!$A$2:$A$201,0)),0))</f>
        <v/>
      </c>
      <c r="J338" s="17" t="str">
        <f aca="false">IF($B338="","",H338-I338)</f>
        <v/>
      </c>
      <c r="K338" s="16" t="str">
        <f aca="false">IF($A338="","",DATE(YEAR($A338),MONTH($A338),1))</f>
        <v/>
      </c>
    </row>
    <row r="339" customFormat="false" ht="15" hidden="false" customHeight="false" outlineLevel="0" collapsed="false">
      <c r="A339" s="25"/>
      <c r="B339" s="19"/>
      <c r="C339" s="19"/>
      <c r="D339" s="26"/>
      <c r="E339" s="27" t="str">
        <f aca="false">IF($B339="","",IFERROR(INDEX(Products!$B$2:$B$201,MATCH($B339,Products!$A$2:$A$201,0)),"Unknown code"))</f>
        <v/>
      </c>
      <c r="F339" s="22" t="str">
        <f aca="false">IF($B339="","",IFERROR(INDEX(Products!$C$2:$C$201,MATCH($B339,Products!$A$2:$A$201,0)),""))</f>
        <v/>
      </c>
      <c r="G339" s="17" t="str">
        <f aca="false">IF($B339="","",IFERROR(INDEX(Products!$D$2:$D$201,MATCH($B339,Products!$A$2:$A$201,0)),0))</f>
        <v/>
      </c>
      <c r="H339" s="17" t="str">
        <f aca="false">IF($B339="","",C339*G339*(1-D339))</f>
        <v/>
      </c>
      <c r="I339" s="17" t="str">
        <f aca="false">IF($B339="","",C339*IFERROR(INDEX(Products!$E$2:$E$201,MATCH($B339,Products!$A$2:$A$201,0)),0))</f>
        <v/>
      </c>
      <c r="J339" s="17" t="str">
        <f aca="false">IF($B339="","",H339-I339)</f>
        <v/>
      </c>
      <c r="K339" s="16" t="str">
        <f aca="false">IF($A339="","",DATE(YEAR($A339),MONTH($A339),1))</f>
        <v/>
      </c>
    </row>
    <row r="340" customFormat="false" ht="15" hidden="false" customHeight="false" outlineLevel="0" collapsed="false">
      <c r="A340" s="25"/>
      <c r="B340" s="19"/>
      <c r="C340" s="19"/>
      <c r="D340" s="26"/>
      <c r="E340" s="27" t="str">
        <f aca="false">IF($B340="","",IFERROR(INDEX(Products!$B$2:$B$201,MATCH($B340,Products!$A$2:$A$201,0)),"Unknown code"))</f>
        <v/>
      </c>
      <c r="F340" s="22" t="str">
        <f aca="false">IF($B340="","",IFERROR(INDEX(Products!$C$2:$C$201,MATCH($B340,Products!$A$2:$A$201,0)),""))</f>
        <v/>
      </c>
      <c r="G340" s="17" t="str">
        <f aca="false">IF($B340="","",IFERROR(INDEX(Products!$D$2:$D$201,MATCH($B340,Products!$A$2:$A$201,0)),0))</f>
        <v/>
      </c>
      <c r="H340" s="17" t="str">
        <f aca="false">IF($B340="","",C340*G340*(1-D340))</f>
        <v/>
      </c>
      <c r="I340" s="17" t="str">
        <f aca="false">IF($B340="","",C340*IFERROR(INDEX(Products!$E$2:$E$201,MATCH($B340,Products!$A$2:$A$201,0)),0))</f>
        <v/>
      </c>
      <c r="J340" s="17" t="str">
        <f aca="false">IF($B340="","",H340-I340)</f>
        <v/>
      </c>
      <c r="K340" s="16" t="str">
        <f aca="false">IF($A340="","",DATE(YEAR($A340),MONTH($A340),1))</f>
        <v/>
      </c>
    </row>
    <row r="341" customFormat="false" ht="15" hidden="false" customHeight="false" outlineLevel="0" collapsed="false">
      <c r="A341" s="25"/>
      <c r="B341" s="19"/>
      <c r="C341" s="19"/>
      <c r="D341" s="26"/>
      <c r="E341" s="27" t="str">
        <f aca="false">IF($B341="","",IFERROR(INDEX(Products!$B$2:$B$201,MATCH($B341,Products!$A$2:$A$201,0)),"Unknown code"))</f>
        <v/>
      </c>
      <c r="F341" s="22" t="str">
        <f aca="false">IF($B341="","",IFERROR(INDEX(Products!$C$2:$C$201,MATCH($B341,Products!$A$2:$A$201,0)),""))</f>
        <v/>
      </c>
      <c r="G341" s="17" t="str">
        <f aca="false">IF($B341="","",IFERROR(INDEX(Products!$D$2:$D$201,MATCH($B341,Products!$A$2:$A$201,0)),0))</f>
        <v/>
      </c>
      <c r="H341" s="17" t="str">
        <f aca="false">IF($B341="","",C341*G341*(1-D341))</f>
        <v/>
      </c>
      <c r="I341" s="17" t="str">
        <f aca="false">IF($B341="","",C341*IFERROR(INDEX(Products!$E$2:$E$201,MATCH($B341,Products!$A$2:$A$201,0)),0))</f>
        <v/>
      </c>
      <c r="J341" s="17" t="str">
        <f aca="false">IF($B341="","",H341-I341)</f>
        <v/>
      </c>
      <c r="K341" s="16" t="str">
        <f aca="false">IF($A341="","",DATE(YEAR($A341),MONTH($A341),1))</f>
        <v/>
      </c>
    </row>
    <row r="342" customFormat="false" ht="15" hidden="false" customHeight="false" outlineLevel="0" collapsed="false">
      <c r="A342" s="25"/>
      <c r="B342" s="19"/>
      <c r="C342" s="19"/>
      <c r="D342" s="26"/>
      <c r="E342" s="27" t="str">
        <f aca="false">IF($B342="","",IFERROR(INDEX(Products!$B$2:$B$201,MATCH($B342,Products!$A$2:$A$201,0)),"Unknown code"))</f>
        <v/>
      </c>
      <c r="F342" s="22" t="str">
        <f aca="false">IF($B342="","",IFERROR(INDEX(Products!$C$2:$C$201,MATCH($B342,Products!$A$2:$A$201,0)),""))</f>
        <v/>
      </c>
      <c r="G342" s="17" t="str">
        <f aca="false">IF($B342="","",IFERROR(INDEX(Products!$D$2:$D$201,MATCH($B342,Products!$A$2:$A$201,0)),0))</f>
        <v/>
      </c>
      <c r="H342" s="17" t="str">
        <f aca="false">IF($B342="","",C342*G342*(1-D342))</f>
        <v/>
      </c>
      <c r="I342" s="17" t="str">
        <f aca="false">IF($B342="","",C342*IFERROR(INDEX(Products!$E$2:$E$201,MATCH($B342,Products!$A$2:$A$201,0)),0))</f>
        <v/>
      </c>
      <c r="J342" s="17" t="str">
        <f aca="false">IF($B342="","",H342-I342)</f>
        <v/>
      </c>
      <c r="K342" s="16" t="str">
        <f aca="false">IF($A342="","",DATE(YEAR($A342),MONTH($A342),1))</f>
        <v/>
      </c>
    </row>
    <row r="343" customFormat="false" ht="15" hidden="false" customHeight="false" outlineLevel="0" collapsed="false">
      <c r="A343" s="25"/>
      <c r="B343" s="19"/>
      <c r="C343" s="19"/>
      <c r="D343" s="26"/>
      <c r="E343" s="27" t="str">
        <f aca="false">IF($B343="","",IFERROR(INDEX(Products!$B$2:$B$201,MATCH($B343,Products!$A$2:$A$201,0)),"Unknown code"))</f>
        <v/>
      </c>
      <c r="F343" s="22" t="str">
        <f aca="false">IF($B343="","",IFERROR(INDEX(Products!$C$2:$C$201,MATCH($B343,Products!$A$2:$A$201,0)),""))</f>
        <v/>
      </c>
      <c r="G343" s="17" t="str">
        <f aca="false">IF($B343="","",IFERROR(INDEX(Products!$D$2:$D$201,MATCH($B343,Products!$A$2:$A$201,0)),0))</f>
        <v/>
      </c>
      <c r="H343" s="17" t="str">
        <f aca="false">IF($B343="","",C343*G343*(1-D343))</f>
        <v/>
      </c>
      <c r="I343" s="17" t="str">
        <f aca="false">IF($B343="","",C343*IFERROR(INDEX(Products!$E$2:$E$201,MATCH($B343,Products!$A$2:$A$201,0)),0))</f>
        <v/>
      </c>
      <c r="J343" s="17" t="str">
        <f aca="false">IF($B343="","",H343-I343)</f>
        <v/>
      </c>
      <c r="K343" s="16" t="str">
        <f aca="false">IF($A343="","",DATE(YEAR($A343),MONTH($A343),1))</f>
        <v/>
      </c>
    </row>
    <row r="344" customFormat="false" ht="15" hidden="false" customHeight="false" outlineLevel="0" collapsed="false">
      <c r="A344" s="25"/>
      <c r="B344" s="19"/>
      <c r="C344" s="19"/>
      <c r="D344" s="26"/>
      <c r="E344" s="27" t="str">
        <f aca="false">IF($B344="","",IFERROR(INDEX(Products!$B$2:$B$201,MATCH($B344,Products!$A$2:$A$201,0)),"Unknown code"))</f>
        <v/>
      </c>
      <c r="F344" s="22" t="str">
        <f aca="false">IF($B344="","",IFERROR(INDEX(Products!$C$2:$C$201,MATCH($B344,Products!$A$2:$A$201,0)),""))</f>
        <v/>
      </c>
      <c r="G344" s="17" t="str">
        <f aca="false">IF($B344="","",IFERROR(INDEX(Products!$D$2:$D$201,MATCH($B344,Products!$A$2:$A$201,0)),0))</f>
        <v/>
      </c>
      <c r="H344" s="17" t="str">
        <f aca="false">IF($B344="","",C344*G344*(1-D344))</f>
        <v/>
      </c>
      <c r="I344" s="17" t="str">
        <f aca="false">IF($B344="","",C344*IFERROR(INDEX(Products!$E$2:$E$201,MATCH($B344,Products!$A$2:$A$201,0)),0))</f>
        <v/>
      </c>
      <c r="J344" s="17" t="str">
        <f aca="false">IF($B344="","",H344-I344)</f>
        <v/>
      </c>
      <c r="K344" s="16" t="str">
        <f aca="false">IF($A344="","",DATE(YEAR($A344),MONTH($A344),1))</f>
        <v/>
      </c>
    </row>
    <row r="345" customFormat="false" ht="15" hidden="false" customHeight="false" outlineLevel="0" collapsed="false">
      <c r="A345" s="25"/>
      <c r="B345" s="19"/>
      <c r="C345" s="19"/>
      <c r="D345" s="26"/>
      <c r="E345" s="27" t="str">
        <f aca="false">IF($B345="","",IFERROR(INDEX(Products!$B$2:$B$201,MATCH($B345,Products!$A$2:$A$201,0)),"Unknown code"))</f>
        <v/>
      </c>
      <c r="F345" s="22" t="str">
        <f aca="false">IF($B345="","",IFERROR(INDEX(Products!$C$2:$C$201,MATCH($B345,Products!$A$2:$A$201,0)),""))</f>
        <v/>
      </c>
      <c r="G345" s="17" t="str">
        <f aca="false">IF($B345="","",IFERROR(INDEX(Products!$D$2:$D$201,MATCH($B345,Products!$A$2:$A$201,0)),0))</f>
        <v/>
      </c>
      <c r="H345" s="17" t="str">
        <f aca="false">IF($B345="","",C345*G345*(1-D345))</f>
        <v/>
      </c>
      <c r="I345" s="17" t="str">
        <f aca="false">IF($B345="","",C345*IFERROR(INDEX(Products!$E$2:$E$201,MATCH($B345,Products!$A$2:$A$201,0)),0))</f>
        <v/>
      </c>
      <c r="J345" s="17" t="str">
        <f aca="false">IF($B345="","",H345-I345)</f>
        <v/>
      </c>
      <c r="K345" s="16" t="str">
        <f aca="false">IF($A345="","",DATE(YEAR($A345),MONTH($A345),1))</f>
        <v/>
      </c>
    </row>
    <row r="346" customFormat="false" ht="15" hidden="false" customHeight="false" outlineLevel="0" collapsed="false">
      <c r="A346" s="25"/>
      <c r="B346" s="19"/>
      <c r="C346" s="19"/>
      <c r="D346" s="26"/>
      <c r="E346" s="27" t="str">
        <f aca="false">IF($B346="","",IFERROR(INDEX(Products!$B$2:$B$201,MATCH($B346,Products!$A$2:$A$201,0)),"Unknown code"))</f>
        <v/>
      </c>
      <c r="F346" s="22" t="str">
        <f aca="false">IF($B346="","",IFERROR(INDEX(Products!$C$2:$C$201,MATCH($B346,Products!$A$2:$A$201,0)),""))</f>
        <v/>
      </c>
      <c r="G346" s="17" t="str">
        <f aca="false">IF($B346="","",IFERROR(INDEX(Products!$D$2:$D$201,MATCH($B346,Products!$A$2:$A$201,0)),0))</f>
        <v/>
      </c>
      <c r="H346" s="17" t="str">
        <f aca="false">IF($B346="","",C346*G346*(1-D346))</f>
        <v/>
      </c>
      <c r="I346" s="17" t="str">
        <f aca="false">IF($B346="","",C346*IFERROR(INDEX(Products!$E$2:$E$201,MATCH($B346,Products!$A$2:$A$201,0)),0))</f>
        <v/>
      </c>
      <c r="J346" s="17" t="str">
        <f aca="false">IF($B346="","",H346-I346)</f>
        <v/>
      </c>
      <c r="K346" s="16" t="str">
        <f aca="false">IF($A346="","",DATE(YEAR($A346),MONTH($A346),1))</f>
        <v/>
      </c>
    </row>
    <row r="347" customFormat="false" ht="15" hidden="false" customHeight="false" outlineLevel="0" collapsed="false">
      <c r="A347" s="25"/>
      <c r="B347" s="19"/>
      <c r="C347" s="19"/>
      <c r="D347" s="26"/>
      <c r="E347" s="27" t="str">
        <f aca="false">IF($B347="","",IFERROR(INDEX(Products!$B$2:$B$201,MATCH($B347,Products!$A$2:$A$201,0)),"Unknown code"))</f>
        <v/>
      </c>
      <c r="F347" s="22" t="str">
        <f aca="false">IF($B347="","",IFERROR(INDEX(Products!$C$2:$C$201,MATCH($B347,Products!$A$2:$A$201,0)),""))</f>
        <v/>
      </c>
      <c r="G347" s="17" t="str">
        <f aca="false">IF($B347="","",IFERROR(INDEX(Products!$D$2:$D$201,MATCH($B347,Products!$A$2:$A$201,0)),0))</f>
        <v/>
      </c>
      <c r="H347" s="17" t="str">
        <f aca="false">IF($B347="","",C347*G347*(1-D347))</f>
        <v/>
      </c>
      <c r="I347" s="17" t="str">
        <f aca="false">IF($B347="","",C347*IFERROR(INDEX(Products!$E$2:$E$201,MATCH($B347,Products!$A$2:$A$201,0)),0))</f>
        <v/>
      </c>
      <c r="J347" s="17" t="str">
        <f aca="false">IF($B347="","",H347-I347)</f>
        <v/>
      </c>
      <c r="K347" s="16" t="str">
        <f aca="false">IF($A347="","",DATE(YEAR($A347),MONTH($A347),1))</f>
        <v/>
      </c>
    </row>
    <row r="348" customFormat="false" ht="15" hidden="false" customHeight="false" outlineLevel="0" collapsed="false">
      <c r="A348" s="25"/>
      <c r="B348" s="19"/>
      <c r="C348" s="19"/>
      <c r="D348" s="26"/>
      <c r="E348" s="27" t="str">
        <f aca="false">IF($B348="","",IFERROR(INDEX(Products!$B$2:$B$201,MATCH($B348,Products!$A$2:$A$201,0)),"Unknown code"))</f>
        <v/>
      </c>
      <c r="F348" s="22" t="str">
        <f aca="false">IF($B348="","",IFERROR(INDEX(Products!$C$2:$C$201,MATCH($B348,Products!$A$2:$A$201,0)),""))</f>
        <v/>
      </c>
      <c r="G348" s="17" t="str">
        <f aca="false">IF($B348="","",IFERROR(INDEX(Products!$D$2:$D$201,MATCH($B348,Products!$A$2:$A$201,0)),0))</f>
        <v/>
      </c>
      <c r="H348" s="17" t="str">
        <f aca="false">IF($B348="","",C348*G348*(1-D348))</f>
        <v/>
      </c>
      <c r="I348" s="17" t="str">
        <f aca="false">IF($B348="","",C348*IFERROR(INDEX(Products!$E$2:$E$201,MATCH($B348,Products!$A$2:$A$201,0)),0))</f>
        <v/>
      </c>
      <c r="J348" s="17" t="str">
        <f aca="false">IF($B348="","",H348-I348)</f>
        <v/>
      </c>
      <c r="K348" s="16" t="str">
        <f aca="false">IF($A348="","",DATE(YEAR($A348),MONTH($A348),1))</f>
        <v/>
      </c>
    </row>
    <row r="349" customFormat="false" ht="15" hidden="false" customHeight="false" outlineLevel="0" collapsed="false">
      <c r="A349" s="25"/>
      <c r="B349" s="19"/>
      <c r="C349" s="19"/>
      <c r="D349" s="26"/>
      <c r="E349" s="27" t="str">
        <f aca="false">IF($B349="","",IFERROR(INDEX(Products!$B$2:$B$201,MATCH($B349,Products!$A$2:$A$201,0)),"Unknown code"))</f>
        <v/>
      </c>
      <c r="F349" s="22" t="str">
        <f aca="false">IF($B349="","",IFERROR(INDEX(Products!$C$2:$C$201,MATCH($B349,Products!$A$2:$A$201,0)),""))</f>
        <v/>
      </c>
      <c r="G349" s="17" t="str">
        <f aca="false">IF($B349="","",IFERROR(INDEX(Products!$D$2:$D$201,MATCH($B349,Products!$A$2:$A$201,0)),0))</f>
        <v/>
      </c>
      <c r="H349" s="17" t="str">
        <f aca="false">IF($B349="","",C349*G349*(1-D349))</f>
        <v/>
      </c>
      <c r="I349" s="17" t="str">
        <f aca="false">IF($B349="","",C349*IFERROR(INDEX(Products!$E$2:$E$201,MATCH($B349,Products!$A$2:$A$201,0)),0))</f>
        <v/>
      </c>
      <c r="J349" s="17" t="str">
        <f aca="false">IF($B349="","",H349-I349)</f>
        <v/>
      </c>
      <c r="K349" s="16" t="str">
        <f aca="false">IF($A349="","",DATE(YEAR($A349),MONTH($A349),1))</f>
        <v/>
      </c>
    </row>
    <row r="350" customFormat="false" ht="15" hidden="false" customHeight="false" outlineLevel="0" collapsed="false">
      <c r="A350" s="25"/>
      <c r="B350" s="19"/>
      <c r="C350" s="19"/>
      <c r="D350" s="26"/>
      <c r="E350" s="27" t="str">
        <f aca="false">IF($B350="","",IFERROR(INDEX(Products!$B$2:$B$201,MATCH($B350,Products!$A$2:$A$201,0)),"Unknown code"))</f>
        <v/>
      </c>
      <c r="F350" s="22" t="str">
        <f aca="false">IF($B350="","",IFERROR(INDEX(Products!$C$2:$C$201,MATCH($B350,Products!$A$2:$A$201,0)),""))</f>
        <v/>
      </c>
      <c r="G350" s="17" t="str">
        <f aca="false">IF($B350="","",IFERROR(INDEX(Products!$D$2:$D$201,MATCH($B350,Products!$A$2:$A$201,0)),0))</f>
        <v/>
      </c>
      <c r="H350" s="17" t="str">
        <f aca="false">IF($B350="","",C350*G350*(1-D350))</f>
        <v/>
      </c>
      <c r="I350" s="17" t="str">
        <f aca="false">IF($B350="","",C350*IFERROR(INDEX(Products!$E$2:$E$201,MATCH($B350,Products!$A$2:$A$201,0)),0))</f>
        <v/>
      </c>
      <c r="J350" s="17" t="str">
        <f aca="false">IF($B350="","",H350-I350)</f>
        <v/>
      </c>
      <c r="K350" s="16" t="str">
        <f aca="false">IF($A350="","",DATE(YEAR($A350),MONTH($A350),1))</f>
        <v/>
      </c>
    </row>
    <row r="351" customFormat="false" ht="15" hidden="false" customHeight="false" outlineLevel="0" collapsed="false">
      <c r="A351" s="25"/>
      <c r="B351" s="19"/>
      <c r="C351" s="19"/>
      <c r="D351" s="26"/>
      <c r="E351" s="27" t="str">
        <f aca="false">IF($B351="","",IFERROR(INDEX(Products!$B$2:$B$201,MATCH($B351,Products!$A$2:$A$201,0)),"Unknown code"))</f>
        <v/>
      </c>
      <c r="F351" s="22" t="str">
        <f aca="false">IF($B351="","",IFERROR(INDEX(Products!$C$2:$C$201,MATCH($B351,Products!$A$2:$A$201,0)),""))</f>
        <v/>
      </c>
      <c r="G351" s="17" t="str">
        <f aca="false">IF($B351="","",IFERROR(INDEX(Products!$D$2:$D$201,MATCH($B351,Products!$A$2:$A$201,0)),0))</f>
        <v/>
      </c>
      <c r="H351" s="17" t="str">
        <f aca="false">IF($B351="","",C351*G351*(1-D351))</f>
        <v/>
      </c>
      <c r="I351" s="17" t="str">
        <f aca="false">IF($B351="","",C351*IFERROR(INDEX(Products!$E$2:$E$201,MATCH($B351,Products!$A$2:$A$201,0)),0))</f>
        <v/>
      </c>
      <c r="J351" s="17" t="str">
        <f aca="false">IF($B351="","",H351-I351)</f>
        <v/>
      </c>
      <c r="K351" s="16" t="str">
        <f aca="false">IF($A351="","",DATE(YEAR($A351),MONTH($A351),1))</f>
        <v/>
      </c>
    </row>
    <row r="352" customFormat="false" ht="15" hidden="false" customHeight="false" outlineLevel="0" collapsed="false">
      <c r="A352" s="25"/>
      <c r="B352" s="19"/>
      <c r="C352" s="19"/>
      <c r="D352" s="26"/>
      <c r="E352" s="27" t="str">
        <f aca="false">IF($B352="","",IFERROR(INDEX(Products!$B$2:$B$201,MATCH($B352,Products!$A$2:$A$201,0)),"Unknown code"))</f>
        <v/>
      </c>
      <c r="F352" s="22" t="str">
        <f aca="false">IF($B352="","",IFERROR(INDEX(Products!$C$2:$C$201,MATCH($B352,Products!$A$2:$A$201,0)),""))</f>
        <v/>
      </c>
      <c r="G352" s="17" t="str">
        <f aca="false">IF($B352="","",IFERROR(INDEX(Products!$D$2:$D$201,MATCH($B352,Products!$A$2:$A$201,0)),0))</f>
        <v/>
      </c>
      <c r="H352" s="17" t="str">
        <f aca="false">IF($B352="","",C352*G352*(1-D352))</f>
        <v/>
      </c>
      <c r="I352" s="17" t="str">
        <f aca="false">IF($B352="","",C352*IFERROR(INDEX(Products!$E$2:$E$201,MATCH($B352,Products!$A$2:$A$201,0)),0))</f>
        <v/>
      </c>
      <c r="J352" s="17" t="str">
        <f aca="false">IF($B352="","",H352-I352)</f>
        <v/>
      </c>
      <c r="K352" s="16" t="str">
        <f aca="false">IF($A352="","",DATE(YEAR($A352),MONTH($A352),1))</f>
        <v/>
      </c>
    </row>
    <row r="353" customFormat="false" ht="15" hidden="false" customHeight="false" outlineLevel="0" collapsed="false">
      <c r="A353" s="25"/>
      <c r="B353" s="19"/>
      <c r="C353" s="19"/>
      <c r="D353" s="26"/>
      <c r="E353" s="27" t="str">
        <f aca="false">IF($B353="","",IFERROR(INDEX(Products!$B$2:$B$201,MATCH($B353,Products!$A$2:$A$201,0)),"Unknown code"))</f>
        <v/>
      </c>
      <c r="F353" s="22" t="str">
        <f aca="false">IF($B353="","",IFERROR(INDEX(Products!$C$2:$C$201,MATCH($B353,Products!$A$2:$A$201,0)),""))</f>
        <v/>
      </c>
      <c r="G353" s="17" t="str">
        <f aca="false">IF($B353="","",IFERROR(INDEX(Products!$D$2:$D$201,MATCH($B353,Products!$A$2:$A$201,0)),0))</f>
        <v/>
      </c>
      <c r="H353" s="17" t="str">
        <f aca="false">IF($B353="","",C353*G353*(1-D353))</f>
        <v/>
      </c>
      <c r="I353" s="17" t="str">
        <f aca="false">IF($B353="","",C353*IFERROR(INDEX(Products!$E$2:$E$201,MATCH($B353,Products!$A$2:$A$201,0)),0))</f>
        <v/>
      </c>
      <c r="J353" s="17" t="str">
        <f aca="false">IF($B353="","",H353-I353)</f>
        <v/>
      </c>
      <c r="K353" s="16" t="str">
        <f aca="false">IF($A353="","",DATE(YEAR($A353),MONTH($A353),1))</f>
        <v/>
      </c>
    </row>
    <row r="354" customFormat="false" ht="15" hidden="false" customHeight="false" outlineLevel="0" collapsed="false">
      <c r="A354" s="25"/>
      <c r="B354" s="19"/>
      <c r="C354" s="19"/>
      <c r="D354" s="26"/>
      <c r="E354" s="27" t="str">
        <f aca="false">IF($B354="","",IFERROR(INDEX(Products!$B$2:$B$201,MATCH($B354,Products!$A$2:$A$201,0)),"Unknown code"))</f>
        <v/>
      </c>
      <c r="F354" s="22" t="str">
        <f aca="false">IF($B354="","",IFERROR(INDEX(Products!$C$2:$C$201,MATCH($B354,Products!$A$2:$A$201,0)),""))</f>
        <v/>
      </c>
      <c r="G354" s="17" t="str">
        <f aca="false">IF($B354="","",IFERROR(INDEX(Products!$D$2:$D$201,MATCH($B354,Products!$A$2:$A$201,0)),0))</f>
        <v/>
      </c>
      <c r="H354" s="17" t="str">
        <f aca="false">IF($B354="","",C354*G354*(1-D354))</f>
        <v/>
      </c>
      <c r="I354" s="17" t="str">
        <f aca="false">IF($B354="","",C354*IFERROR(INDEX(Products!$E$2:$E$201,MATCH($B354,Products!$A$2:$A$201,0)),0))</f>
        <v/>
      </c>
      <c r="J354" s="17" t="str">
        <f aca="false">IF($B354="","",H354-I354)</f>
        <v/>
      </c>
      <c r="K354" s="16" t="str">
        <f aca="false">IF($A354="","",DATE(YEAR($A354),MONTH($A354),1))</f>
        <v/>
      </c>
    </row>
    <row r="355" customFormat="false" ht="15" hidden="false" customHeight="false" outlineLevel="0" collapsed="false">
      <c r="A355" s="25"/>
      <c r="B355" s="19"/>
      <c r="C355" s="19"/>
      <c r="D355" s="26"/>
      <c r="E355" s="27" t="str">
        <f aca="false">IF($B355="","",IFERROR(INDEX(Products!$B$2:$B$201,MATCH($B355,Products!$A$2:$A$201,0)),"Unknown code"))</f>
        <v/>
      </c>
      <c r="F355" s="22" t="str">
        <f aca="false">IF($B355="","",IFERROR(INDEX(Products!$C$2:$C$201,MATCH($B355,Products!$A$2:$A$201,0)),""))</f>
        <v/>
      </c>
      <c r="G355" s="17" t="str">
        <f aca="false">IF($B355="","",IFERROR(INDEX(Products!$D$2:$D$201,MATCH($B355,Products!$A$2:$A$201,0)),0))</f>
        <v/>
      </c>
      <c r="H355" s="17" t="str">
        <f aca="false">IF($B355="","",C355*G355*(1-D355))</f>
        <v/>
      </c>
      <c r="I355" s="17" t="str">
        <f aca="false">IF($B355="","",C355*IFERROR(INDEX(Products!$E$2:$E$201,MATCH($B355,Products!$A$2:$A$201,0)),0))</f>
        <v/>
      </c>
      <c r="J355" s="17" t="str">
        <f aca="false">IF($B355="","",H355-I355)</f>
        <v/>
      </c>
      <c r="K355" s="16" t="str">
        <f aca="false">IF($A355="","",DATE(YEAR($A355),MONTH($A355),1))</f>
        <v/>
      </c>
    </row>
    <row r="356" customFormat="false" ht="15" hidden="false" customHeight="false" outlineLevel="0" collapsed="false">
      <c r="A356" s="25"/>
      <c r="B356" s="19"/>
      <c r="C356" s="19"/>
      <c r="D356" s="26"/>
      <c r="E356" s="27" t="str">
        <f aca="false">IF($B356="","",IFERROR(INDEX(Products!$B$2:$B$201,MATCH($B356,Products!$A$2:$A$201,0)),"Unknown code"))</f>
        <v/>
      </c>
      <c r="F356" s="22" t="str">
        <f aca="false">IF($B356="","",IFERROR(INDEX(Products!$C$2:$C$201,MATCH($B356,Products!$A$2:$A$201,0)),""))</f>
        <v/>
      </c>
      <c r="G356" s="17" t="str">
        <f aca="false">IF($B356="","",IFERROR(INDEX(Products!$D$2:$D$201,MATCH($B356,Products!$A$2:$A$201,0)),0))</f>
        <v/>
      </c>
      <c r="H356" s="17" t="str">
        <f aca="false">IF($B356="","",C356*G356*(1-D356))</f>
        <v/>
      </c>
      <c r="I356" s="17" t="str">
        <f aca="false">IF($B356="","",C356*IFERROR(INDEX(Products!$E$2:$E$201,MATCH($B356,Products!$A$2:$A$201,0)),0))</f>
        <v/>
      </c>
      <c r="J356" s="17" t="str">
        <f aca="false">IF($B356="","",H356-I356)</f>
        <v/>
      </c>
      <c r="K356" s="16" t="str">
        <f aca="false">IF($A356="","",DATE(YEAR($A356),MONTH($A356),1))</f>
        <v/>
      </c>
    </row>
    <row r="357" customFormat="false" ht="15" hidden="false" customHeight="false" outlineLevel="0" collapsed="false">
      <c r="A357" s="25"/>
      <c r="B357" s="19"/>
      <c r="C357" s="19"/>
      <c r="D357" s="26"/>
      <c r="E357" s="27" t="str">
        <f aca="false">IF($B357="","",IFERROR(INDEX(Products!$B$2:$B$201,MATCH($B357,Products!$A$2:$A$201,0)),"Unknown code"))</f>
        <v/>
      </c>
      <c r="F357" s="22" t="str">
        <f aca="false">IF($B357="","",IFERROR(INDEX(Products!$C$2:$C$201,MATCH($B357,Products!$A$2:$A$201,0)),""))</f>
        <v/>
      </c>
      <c r="G357" s="17" t="str">
        <f aca="false">IF($B357="","",IFERROR(INDEX(Products!$D$2:$D$201,MATCH($B357,Products!$A$2:$A$201,0)),0))</f>
        <v/>
      </c>
      <c r="H357" s="17" t="str">
        <f aca="false">IF($B357="","",C357*G357*(1-D357))</f>
        <v/>
      </c>
      <c r="I357" s="17" t="str">
        <f aca="false">IF($B357="","",C357*IFERROR(INDEX(Products!$E$2:$E$201,MATCH($B357,Products!$A$2:$A$201,0)),0))</f>
        <v/>
      </c>
      <c r="J357" s="17" t="str">
        <f aca="false">IF($B357="","",H357-I357)</f>
        <v/>
      </c>
      <c r="K357" s="16" t="str">
        <f aca="false">IF($A357="","",DATE(YEAR($A357),MONTH($A357),1))</f>
        <v/>
      </c>
    </row>
    <row r="358" customFormat="false" ht="15" hidden="false" customHeight="false" outlineLevel="0" collapsed="false">
      <c r="A358" s="25"/>
      <c r="B358" s="19"/>
      <c r="C358" s="19"/>
      <c r="D358" s="26"/>
      <c r="E358" s="27" t="str">
        <f aca="false">IF($B358="","",IFERROR(INDEX(Products!$B$2:$B$201,MATCH($B358,Products!$A$2:$A$201,0)),"Unknown code"))</f>
        <v/>
      </c>
      <c r="F358" s="22" t="str">
        <f aca="false">IF($B358="","",IFERROR(INDEX(Products!$C$2:$C$201,MATCH($B358,Products!$A$2:$A$201,0)),""))</f>
        <v/>
      </c>
      <c r="G358" s="17" t="str">
        <f aca="false">IF($B358="","",IFERROR(INDEX(Products!$D$2:$D$201,MATCH($B358,Products!$A$2:$A$201,0)),0))</f>
        <v/>
      </c>
      <c r="H358" s="17" t="str">
        <f aca="false">IF($B358="","",C358*G358*(1-D358))</f>
        <v/>
      </c>
      <c r="I358" s="17" t="str">
        <f aca="false">IF($B358="","",C358*IFERROR(INDEX(Products!$E$2:$E$201,MATCH($B358,Products!$A$2:$A$201,0)),0))</f>
        <v/>
      </c>
      <c r="J358" s="17" t="str">
        <f aca="false">IF($B358="","",H358-I358)</f>
        <v/>
      </c>
      <c r="K358" s="16" t="str">
        <f aca="false">IF($A358="","",DATE(YEAR($A358),MONTH($A358),1))</f>
        <v/>
      </c>
    </row>
    <row r="359" customFormat="false" ht="15" hidden="false" customHeight="false" outlineLevel="0" collapsed="false">
      <c r="A359" s="25"/>
      <c r="B359" s="19"/>
      <c r="C359" s="19"/>
      <c r="D359" s="26"/>
      <c r="E359" s="27" t="str">
        <f aca="false">IF($B359="","",IFERROR(INDEX(Products!$B$2:$B$201,MATCH($B359,Products!$A$2:$A$201,0)),"Unknown code"))</f>
        <v/>
      </c>
      <c r="F359" s="22" t="str">
        <f aca="false">IF($B359="","",IFERROR(INDEX(Products!$C$2:$C$201,MATCH($B359,Products!$A$2:$A$201,0)),""))</f>
        <v/>
      </c>
      <c r="G359" s="17" t="str">
        <f aca="false">IF($B359="","",IFERROR(INDEX(Products!$D$2:$D$201,MATCH($B359,Products!$A$2:$A$201,0)),0))</f>
        <v/>
      </c>
      <c r="H359" s="17" t="str">
        <f aca="false">IF($B359="","",C359*G359*(1-D359))</f>
        <v/>
      </c>
      <c r="I359" s="17" t="str">
        <f aca="false">IF($B359="","",C359*IFERROR(INDEX(Products!$E$2:$E$201,MATCH($B359,Products!$A$2:$A$201,0)),0))</f>
        <v/>
      </c>
      <c r="J359" s="17" t="str">
        <f aca="false">IF($B359="","",H359-I359)</f>
        <v/>
      </c>
      <c r="K359" s="16" t="str">
        <f aca="false">IF($A359="","",DATE(YEAR($A359),MONTH($A359),1))</f>
        <v/>
      </c>
    </row>
    <row r="360" customFormat="false" ht="15" hidden="false" customHeight="false" outlineLevel="0" collapsed="false">
      <c r="A360" s="25"/>
      <c r="B360" s="19"/>
      <c r="C360" s="19"/>
      <c r="D360" s="26"/>
      <c r="E360" s="27" t="str">
        <f aca="false">IF($B360="","",IFERROR(INDEX(Products!$B$2:$B$201,MATCH($B360,Products!$A$2:$A$201,0)),"Unknown code"))</f>
        <v/>
      </c>
      <c r="F360" s="22" t="str">
        <f aca="false">IF($B360="","",IFERROR(INDEX(Products!$C$2:$C$201,MATCH($B360,Products!$A$2:$A$201,0)),""))</f>
        <v/>
      </c>
      <c r="G360" s="17" t="str">
        <f aca="false">IF($B360="","",IFERROR(INDEX(Products!$D$2:$D$201,MATCH($B360,Products!$A$2:$A$201,0)),0))</f>
        <v/>
      </c>
      <c r="H360" s="17" t="str">
        <f aca="false">IF($B360="","",C360*G360*(1-D360))</f>
        <v/>
      </c>
      <c r="I360" s="17" t="str">
        <f aca="false">IF($B360="","",C360*IFERROR(INDEX(Products!$E$2:$E$201,MATCH($B360,Products!$A$2:$A$201,0)),0))</f>
        <v/>
      </c>
      <c r="J360" s="17" t="str">
        <f aca="false">IF($B360="","",H360-I360)</f>
        <v/>
      </c>
      <c r="K360" s="16" t="str">
        <f aca="false">IF($A360="","",DATE(YEAR($A360),MONTH($A360),1))</f>
        <v/>
      </c>
    </row>
    <row r="361" customFormat="false" ht="15" hidden="false" customHeight="false" outlineLevel="0" collapsed="false">
      <c r="A361" s="25"/>
      <c r="B361" s="19"/>
      <c r="C361" s="19"/>
      <c r="D361" s="26"/>
      <c r="E361" s="27" t="str">
        <f aca="false">IF($B361="","",IFERROR(INDEX(Products!$B$2:$B$201,MATCH($B361,Products!$A$2:$A$201,0)),"Unknown code"))</f>
        <v/>
      </c>
      <c r="F361" s="22" t="str">
        <f aca="false">IF($B361="","",IFERROR(INDEX(Products!$C$2:$C$201,MATCH($B361,Products!$A$2:$A$201,0)),""))</f>
        <v/>
      </c>
      <c r="G361" s="17" t="str">
        <f aca="false">IF($B361="","",IFERROR(INDEX(Products!$D$2:$D$201,MATCH($B361,Products!$A$2:$A$201,0)),0))</f>
        <v/>
      </c>
      <c r="H361" s="17" t="str">
        <f aca="false">IF($B361="","",C361*G361*(1-D361))</f>
        <v/>
      </c>
      <c r="I361" s="17" t="str">
        <f aca="false">IF($B361="","",C361*IFERROR(INDEX(Products!$E$2:$E$201,MATCH($B361,Products!$A$2:$A$201,0)),0))</f>
        <v/>
      </c>
      <c r="J361" s="17" t="str">
        <f aca="false">IF($B361="","",H361-I361)</f>
        <v/>
      </c>
      <c r="K361" s="16" t="str">
        <f aca="false">IF($A361="","",DATE(YEAR($A361),MONTH($A361),1))</f>
        <v/>
      </c>
    </row>
    <row r="362" customFormat="false" ht="15" hidden="false" customHeight="false" outlineLevel="0" collapsed="false">
      <c r="A362" s="25"/>
      <c r="B362" s="19"/>
      <c r="C362" s="19"/>
      <c r="D362" s="26"/>
      <c r="E362" s="27" t="str">
        <f aca="false">IF($B362="","",IFERROR(INDEX(Products!$B$2:$B$201,MATCH($B362,Products!$A$2:$A$201,0)),"Unknown code"))</f>
        <v/>
      </c>
      <c r="F362" s="22" t="str">
        <f aca="false">IF($B362="","",IFERROR(INDEX(Products!$C$2:$C$201,MATCH($B362,Products!$A$2:$A$201,0)),""))</f>
        <v/>
      </c>
      <c r="G362" s="17" t="str">
        <f aca="false">IF($B362="","",IFERROR(INDEX(Products!$D$2:$D$201,MATCH($B362,Products!$A$2:$A$201,0)),0))</f>
        <v/>
      </c>
      <c r="H362" s="17" t="str">
        <f aca="false">IF($B362="","",C362*G362*(1-D362))</f>
        <v/>
      </c>
      <c r="I362" s="17" t="str">
        <f aca="false">IF($B362="","",C362*IFERROR(INDEX(Products!$E$2:$E$201,MATCH($B362,Products!$A$2:$A$201,0)),0))</f>
        <v/>
      </c>
      <c r="J362" s="17" t="str">
        <f aca="false">IF($B362="","",H362-I362)</f>
        <v/>
      </c>
      <c r="K362" s="16" t="str">
        <f aca="false">IF($A362="","",DATE(YEAR($A362),MONTH($A362),1))</f>
        <v/>
      </c>
    </row>
    <row r="363" customFormat="false" ht="15" hidden="false" customHeight="false" outlineLevel="0" collapsed="false">
      <c r="A363" s="25"/>
      <c r="B363" s="19"/>
      <c r="C363" s="19"/>
      <c r="D363" s="26"/>
      <c r="E363" s="27" t="str">
        <f aca="false">IF($B363="","",IFERROR(INDEX(Products!$B$2:$B$201,MATCH($B363,Products!$A$2:$A$201,0)),"Unknown code"))</f>
        <v/>
      </c>
      <c r="F363" s="22" t="str">
        <f aca="false">IF($B363="","",IFERROR(INDEX(Products!$C$2:$C$201,MATCH($B363,Products!$A$2:$A$201,0)),""))</f>
        <v/>
      </c>
      <c r="G363" s="17" t="str">
        <f aca="false">IF($B363="","",IFERROR(INDEX(Products!$D$2:$D$201,MATCH($B363,Products!$A$2:$A$201,0)),0))</f>
        <v/>
      </c>
      <c r="H363" s="17" t="str">
        <f aca="false">IF($B363="","",C363*G363*(1-D363))</f>
        <v/>
      </c>
      <c r="I363" s="17" t="str">
        <f aca="false">IF($B363="","",C363*IFERROR(INDEX(Products!$E$2:$E$201,MATCH($B363,Products!$A$2:$A$201,0)),0))</f>
        <v/>
      </c>
      <c r="J363" s="17" t="str">
        <f aca="false">IF($B363="","",H363-I363)</f>
        <v/>
      </c>
      <c r="K363" s="16" t="str">
        <f aca="false">IF($A363="","",DATE(YEAR($A363),MONTH($A363),1))</f>
        <v/>
      </c>
    </row>
    <row r="364" customFormat="false" ht="15" hidden="false" customHeight="false" outlineLevel="0" collapsed="false">
      <c r="A364" s="25"/>
      <c r="B364" s="19"/>
      <c r="C364" s="19"/>
      <c r="D364" s="26"/>
      <c r="E364" s="27" t="str">
        <f aca="false">IF($B364="","",IFERROR(INDEX(Products!$B$2:$B$201,MATCH($B364,Products!$A$2:$A$201,0)),"Unknown code"))</f>
        <v/>
      </c>
      <c r="F364" s="22" t="str">
        <f aca="false">IF($B364="","",IFERROR(INDEX(Products!$C$2:$C$201,MATCH($B364,Products!$A$2:$A$201,0)),""))</f>
        <v/>
      </c>
      <c r="G364" s="17" t="str">
        <f aca="false">IF($B364="","",IFERROR(INDEX(Products!$D$2:$D$201,MATCH($B364,Products!$A$2:$A$201,0)),0))</f>
        <v/>
      </c>
      <c r="H364" s="17" t="str">
        <f aca="false">IF($B364="","",C364*G364*(1-D364))</f>
        <v/>
      </c>
      <c r="I364" s="17" t="str">
        <f aca="false">IF($B364="","",C364*IFERROR(INDEX(Products!$E$2:$E$201,MATCH($B364,Products!$A$2:$A$201,0)),0))</f>
        <v/>
      </c>
      <c r="J364" s="17" t="str">
        <f aca="false">IF($B364="","",H364-I364)</f>
        <v/>
      </c>
      <c r="K364" s="16" t="str">
        <f aca="false">IF($A364="","",DATE(YEAR($A364),MONTH($A364),1))</f>
        <v/>
      </c>
    </row>
    <row r="365" customFormat="false" ht="15" hidden="false" customHeight="false" outlineLevel="0" collapsed="false">
      <c r="A365" s="25"/>
      <c r="B365" s="19"/>
      <c r="C365" s="19"/>
      <c r="D365" s="26"/>
      <c r="E365" s="27" t="str">
        <f aca="false">IF($B365="","",IFERROR(INDEX(Products!$B$2:$B$201,MATCH($B365,Products!$A$2:$A$201,0)),"Unknown code"))</f>
        <v/>
      </c>
      <c r="F365" s="22" t="str">
        <f aca="false">IF($B365="","",IFERROR(INDEX(Products!$C$2:$C$201,MATCH($B365,Products!$A$2:$A$201,0)),""))</f>
        <v/>
      </c>
      <c r="G365" s="17" t="str">
        <f aca="false">IF($B365="","",IFERROR(INDEX(Products!$D$2:$D$201,MATCH($B365,Products!$A$2:$A$201,0)),0))</f>
        <v/>
      </c>
      <c r="H365" s="17" t="str">
        <f aca="false">IF($B365="","",C365*G365*(1-D365))</f>
        <v/>
      </c>
      <c r="I365" s="17" t="str">
        <f aca="false">IF($B365="","",C365*IFERROR(INDEX(Products!$E$2:$E$201,MATCH($B365,Products!$A$2:$A$201,0)),0))</f>
        <v/>
      </c>
      <c r="J365" s="17" t="str">
        <f aca="false">IF($B365="","",H365-I365)</f>
        <v/>
      </c>
      <c r="K365" s="16" t="str">
        <f aca="false">IF($A365="","",DATE(YEAR($A365),MONTH($A365),1))</f>
        <v/>
      </c>
    </row>
    <row r="366" customFormat="false" ht="15" hidden="false" customHeight="false" outlineLevel="0" collapsed="false">
      <c r="A366" s="25"/>
      <c r="B366" s="19"/>
      <c r="C366" s="19"/>
      <c r="D366" s="26"/>
      <c r="E366" s="27" t="str">
        <f aca="false">IF($B366="","",IFERROR(INDEX(Products!$B$2:$B$201,MATCH($B366,Products!$A$2:$A$201,0)),"Unknown code"))</f>
        <v/>
      </c>
      <c r="F366" s="22" t="str">
        <f aca="false">IF($B366="","",IFERROR(INDEX(Products!$C$2:$C$201,MATCH($B366,Products!$A$2:$A$201,0)),""))</f>
        <v/>
      </c>
      <c r="G366" s="17" t="str">
        <f aca="false">IF($B366="","",IFERROR(INDEX(Products!$D$2:$D$201,MATCH($B366,Products!$A$2:$A$201,0)),0))</f>
        <v/>
      </c>
      <c r="H366" s="17" t="str">
        <f aca="false">IF($B366="","",C366*G366*(1-D366))</f>
        <v/>
      </c>
      <c r="I366" s="17" t="str">
        <f aca="false">IF($B366="","",C366*IFERROR(INDEX(Products!$E$2:$E$201,MATCH($B366,Products!$A$2:$A$201,0)),0))</f>
        <v/>
      </c>
      <c r="J366" s="17" t="str">
        <f aca="false">IF($B366="","",H366-I366)</f>
        <v/>
      </c>
      <c r="K366" s="16" t="str">
        <f aca="false">IF($A366="","",DATE(YEAR($A366),MONTH($A366),1))</f>
        <v/>
      </c>
    </row>
    <row r="367" customFormat="false" ht="15" hidden="false" customHeight="false" outlineLevel="0" collapsed="false">
      <c r="A367" s="25"/>
      <c r="B367" s="19"/>
      <c r="C367" s="19"/>
      <c r="D367" s="26"/>
      <c r="E367" s="27" t="str">
        <f aca="false">IF($B367="","",IFERROR(INDEX(Products!$B$2:$B$201,MATCH($B367,Products!$A$2:$A$201,0)),"Unknown code"))</f>
        <v/>
      </c>
      <c r="F367" s="22" t="str">
        <f aca="false">IF($B367="","",IFERROR(INDEX(Products!$C$2:$C$201,MATCH($B367,Products!$A$2:$A$201,0)),""))</f>
        <v/>
      </c>
      <c r="G367" s="17" t="str">
        <f aca="false">IF($B367="","",IFERROR(INDEX(Products!$D$2:$D$201,MATCH($B367,Products!$A$2:$A$201,0)),0))</f>
        <v/>
      </c>
      <c r="H367" s="17" t="str">
        <f aca="false">IF($B367="","",C367*G367*(1-D367))</f>
        <v/>
      </c>
      <c r="I367" s="17" t="str">
        <f aca="false">IF($B367="","",C367*IFERROR(INDEX(Products!$E$2:$E$201,MATCH($B367,Products!$A$2:$A$201,0)),0))</f>
        <v/>
      </c>
      <c r="J367" s="17" t="str">
        <f aca="false">IF($B367="","",H367-I367)</f>
        <v/>
      </c>
      <c r="K367" s="16" t="str">
        <f aca="false">IF($A367="","",DATE(YEAR($A367),MONTH($A367),1))</f>
        <v/>
      </c>
    </row>
    <row r="368" customFormat="false" ht="15" hidden="false" customHeight="false" outlineLevel="0" collapsed="false">
      <c r="A368" s="25"/>
      <c r="B368" s="19"/>
      <c r="C368" s="19"/>
      <c r="D368" s="26"/>
      <c r="E368" s="27" t="str">
        <f aca="false">IF($B368="","",IFERROR(INDEX(Products!$B$2:$B$201,MATCH($B368,Products!$A$2:$A$201,0)),"Unknown code"))</f>
        <v/>
      </c>
      <c r="F368" s="22" t="str">
        <f aca="false">IF($B368="","",IFERROR(INDEX(Products!$C$2:$C$201,MATCH($B368,Products!$A$2:$A$201,0)),""))</f>
        <v/>
      </c>
      <c r="G368" s="17" t="str">
        <f aca="false">IF($B368="","",IFERROR(INDEX(Products!$D$2:$D$201,MATCH($B368,Products!$A$2:$A$201,0)),0))</f>
        <v/>
      </c>
      <c r="H368" s="17" t="str">
        <f aca="false">IF($B368="","",C368*G368*(1-D368))</f>
        <v/>
      </c>
      <c r="I368" s="17" t="str">
        <f aca="false">IF($B368="","",C368*IFERROR(INDEX(Products!$E$2:$E$201,MATCH($B368,Products!$A$2:$A$201,0)),0))</f>
        <v/>
      </c>
      <c r="J368" s="17" t="str">
        <f aca="false">IF($B368="","",H368-I368)</f>
        <v/>
      </c>
      <c r="K368" s="16" t="str">
        <f aca="false">IF($A368="","",DATE(YEAR($A368),MONTH($A368),1))</f>
        <v/>
      </c>
    </row>
    <row r="369" customFormat="false" ht="15" hidden="false" customHeight="false" outlineLevel="0" collapsed="false">
      <c r="A369" s="25"/>
      <c r="B369" s="19"/>
      <c r="C369" s="19"/>
      <c r="D369" s="26"/>
      <c r="E369" s="27" t="str">
        <f aca="false">IF($B369="","",IFERROR(INDEX(Products!$B$2:$B$201,MATCH($B369,Products!$A$2:$A$201,0)),"Unknown code"))</f>
        <v/>
      </c>
      <c r="F369" s="22" t="str">
        <f aca="false">IF($B369="","",IFERROR(INDEX(Products!$C$2:$C$201,MATCH($B369,Products!$A$2:$A$201,0)),""))</f>
        <v/>
      </c>
      <c r="G369" s="17" t="str">
        <f aca="false">IF($B369="","",IFERROR(INDEX(Products!$D$2:$D$201,MATCH($B369,Products!$A$2:$A$201,0)),0))</f>
        <v/>
      </c>
      <c r="H369" s="17" t="str">
        <f aca="false">IF($B369="","",C369*G369*(1-D369))</f>
        <v/>
      </c>
      <c r="I369" s="17" t="str">
        <f aca="false">IF($B369="","",C369*IFERROR(INDEX(Products!$E$2:$E$201,MATCH($B369,Products!$A$2:$A$201,0)),0))</f>
        <v/>
      </c>
      <c r="J369" s="17" t="str">
        <f aca="false">IF($B369="","",H369-I369)</f>
        <v/>
      </c>
      <c r="K369" s="16" t="str">
        <f aca="false">IF($A369="","",DATE(YEAR($A369),MONTH($A369),1))</f>
        <v/>
      </c>
    </row>
    <row r="370" customFormat="false" ht="15" hidden="false" customHeight="false" outlineLevel="0" collapsed="false">
      <c r="A370" s="25"/>
      <c r="B370" s="19"/>
      <c r="C370" s="19"/>
      <c r="D370" s="26"/>
      <c r="E370" s="27" t="str">
        <f aca="false">IF($B370="","",IFERROR(INDEX(Products!$B$2:$B$201,MATCH($B370,Products!$A$2:$A$201,0)),"Unknown code"))</f>
        <v/>
      </c>
      <c r="F370" s="22" t="str">
        <f aca="false">IF($B370="","",IFERROR(INDEX(Products!$C$2:$C$201,MATCH($B370,Products!$A$2:$A$201,0)),""))</f>
        <v/>
      </c>
      <c r="G370" s="17" t="str">
        <f aca="false">IF($B370="","",IFERROR(INDEX(Products!$D$2:$D$201,MATCH($B370,Products!$A$2:$A$201,0)),0))</f>
        <v/>
      </c>
      <c r="H370" s="17" t="str">
        <f aca="false">IF($B370="","",C370*G370*(1-D370))</f>
        <v/>
      </c>
      <c r="I370" s="17" t="str">
        <f aca="false">IF($B370="","",C370*IFERROR(INDEX(Products!$E$2:$E$201,MATCH($B370,Products!$A$2:$A$201,0)),0))</f>
        <v/>
      </c>
      <c r="J370" s="17" t="str">
        <f aca="false">IF($B370="","",H370-I370)</f>
        <v/>
      </c>
      <c r="K370" s="16" t="str">
        <f aca="false">IF($A370="","",DATE(YEAR($A370),MONTH($A370),1))</f>
        <v/>
      </c>
    </row>
    <row r="371" customFormat="false" ht="15" hidden="false" customHeight="false" outlineLevel="0" collapsed="false">
      <c r="A371" s="25"/>
      <c r="B371" s="19"/>
      <c r="C371" s="19"/>
      <c r="D371" s="26"/>
      <c r="E371" s="27" t="str">
        <f aca="false">IF($B371="","",IFERROR(INDEX(Products!$B$2:$B$201,MATCH($B371,Products!$A$2:$A$201,0)),"Unknown code"))</f>
        <v/>
      </c>
      <c r="F371" s="22" t="str">
        <f aca="false">IF($B371="","",IFERROR(INDEX(Products!$C$2:$C$201,MATCH($B371,Products!$A$2:$A$201,0)),""))</f>
        <v/>
      </c>
      <c r="G371" s="17" t="str">
        <f aca="false">IF($B371="","",IFERROR(INDEX(Products!$D$2:$D$201,MATCH($B371,Products!$A$2:$A$201,0)),0))</f>
        <v/>
      </c>
      <c r="H371" s="17" t="str">
        <f aca="false">IF($B371="","",C371*G371*(1-D371))</f>
        <v/>
      </c>
      <c r="I371" s="17" t="str">
        <f aca="false">IF($B371="","",C371*IFERROR(INDEX(Products!$E$2:$E$201,MATCH($B371,Products!$A$2:$A$201,0)),0))</f>
        <v/>
      </c>
      <c r="J371" s="17" t="str">
        <f aca="false">IF($B371="","",H371-I371)</f>
        <v/>
      </c>
      <c r="K371" s="16" t="str">
        <f aca="false">IF($A371="","",DATE(YEAR($A371),MONTH($A371),1))</f>
        <v/>
      </c>
    </row>
    <row r="372" customFormat="false" ht="15" hidden="false" customHeight="false" outlineLevel="0" collapsed="false">
      <c r="A372" s="25"/>
      <c r="B372" s="19"/>
      <c r="C372" s="19"/>
      <c r="D372" s="26"/>
      <c r="E372" s="27" t="str">
        <f aca="false">IF($B372="","",IFERROR(INDEX(Products!$B$2:$B$201,MATCH($B372,Products!$A$2:$A$201,0)),"Unknown code"))</f>
        <v/>
      </c>
      <c r="F372" s="22" t="str">
        <f aca="false">IF($B372="","",IFERROR(INDEX(Products!$C$2:$C$201,MATCH($B372,Products!$A$2:$A$201,0)),""))</f>
        <v/>
      </c>
      <c r="G372" s="17" t="str">
        <f aca="false">IF($B372="","",IFERROR(INDEX(Products!$D$2:$D$201,MATCH($B372,Products!$A$2:$A$201,0)),0))</f>
        <v/>
      </c>
      <c r="H372" s="17" t="str">
        <f aca="false">IF($B372="","",C372*G372*(1-D372))</f>
        <v/>
      </c>
      <c r="I372" s="17" t="str">
        <f aca="false">IF($B372="","",C372*IFERROR(INDEX(Products!$E$2:$E$201,MATCH($B372,Products!$A$2:$A$201,0)),0))</f>
        <v/>
      </c>
      <c r="J372" s="17" t="str">
        <f aca="false">IF($B372="","",H372-I372)</f>
        <v/>
      </c>
      <c r="K372" s="16" t="str">
        <f aca="false">IF($A372="","",DATE(YEAR($A372),MONTH($A372),1))</f>
        <v/>
      </c>
    </row>
    <row r="373" customFormat="false" ht="15" hidden="false" customHeight="false" outlineLevel="0" collapsed="false">
      <c r="A373" s="25"/>
      <c r="B373" s="19"/>
      <c r="C373" s="19"/>
      <c r="D373" s="26"/>
      <c r="E373" s="27" t="str">
        <f aca="false">IF($B373="","",IFERROR(INDEX(Products!$B$2:$B$201,MATCH($B373,Products!$A$2:$A$201,0)),"Unknown code"))</f>
        <v/>
      </c>
      <c r="F373" s="22" t="str">
        <f aca="false">IF($B373="","",IFERROR(INDEX(Products!$C$2:$C$201,MATCH($B373,Products!$A$2:$A$201,0)),""))</f>
        <v/>
      </c>
      <c r="G373" s="17" t="str">
        <f aca="false">IF($B373="","",IFERROR(INDEX(Products!$D$2:$D$201,MATCH($B373,Products!$A$2:$A$201,0)),0))</f>
        <v/>
      </c>
      <c r="H373" s="17" t="str">
        <f aca="false">IF($B373="","",C373*G373*(1-D373))</f>
        <v/>
      </c>
      <c r="I373" s="17" t="str">
        <f aca="false">IF($B373="","",C373*IFERROR(INDEX(Products!$E$2:$E$201,MATCH($B373,Products!$A$2:$A$201,0)),0))</f>
        <v/>
      </c>
      <c r="J373" s="17" t="str">
        <f aca="false">IF($B373="","",H373-I373)</f>
        <v/>
      </c>
      <c r="K373" s="16" t="str">
        <f aca="false">IF($A373="","",DATE(YEAR($A373),MONTH($A373),1))</f>
        <v/>
      </c>
    </row>
    <row r="374" customFormat="false" ht="15" hidden="false" customHeight="false" outlineLevel="0" collapsed="false">
      <c r="A374" s="25"/>
      <c r="B374" s="19"/>
      <c r="C374" s="19"/>
      <c r="D374" s="26"/>
      <c r="E374" s="27" t="str">
        <f aca="false">IF($B374="","",IFERROR(INDEX(Products!$B$2:$B$201,MATCH($B374,Products!$A$2:$A$201,0)),"Unknown code"))</f>
        <v/>
      </c>
      <c r="F374" s="22" t="str">
        <f aca="false">IF($B374="","",IFERROR(INDEX(Products!$C$2:$C$201,MATCH($B374,Products!$A$2:$A$201,0)),""))</f>
        <v/>
      </c>
      <c r="G374" s="17" t="str">
        <f aca="false">IF($B374="","",IFERROR(INDEX(Products!$D$2:$D$201,MATCH($B374,Products!$A$2:$A$201,0)),0))</f>
        <v/>
      </c>
      <c r="H374" s="17" t="str">
        <f aca="false">IF($B374="","",C374*G374*(1-D374))</f>
        <v/>
      </c>
      <c r="I374" s="17" t="str">
        <f aca="false">IF($B374="","",C374*IFERROR(INDEX(Products!$E$2:$E$201,MATCH($B374,Products!$A$2:$A$201,0)),0))</f>
        <v/>
      </c>
      <c r="J374" s="17" t="str">
        <f aca="false">IF($B374="","",H374-I374)</f>
        <v/>
      </c>
      <c r="K374" s="16" t="str">
        <f aca="false">IF($A374="","",DATE(YEAR($A374),MONTH($A374),1))</f>
        <v/>
      </c>
    </row>
    <row r="375" customFormat="false" ht="15" hidden="false" customHeight="false" outlineLevel="0" collapsed="false">
      <c r="A375" s="25"/>
      <c r="B375" s="19"/>
      <c r="C375" s="19"/>
      <c r="D375" s="26"/>
      <c r="E375" s="27" t="str">
        <f aca="false">IF($B375="","",IFERROR(INDEX(Products!$B$2:$B$201,MATCH($B375,Products!$A$2:$A$201,0)),"Unknown code"))</f>
        <v/>
      </c>
      <c r="F375" s="22" t="str">
        <f aca="false">IF($B375="","",IFERROR(INDEX(Products!$C$2:$C$201,MATCH($B375,Products!$A$2:$A$201,0)),""))</f>
        <v/>
      </c>
      <c r="G375" s="17" t="str">
        <f aca="false">IF($B375="","",IFERROR(INDEX(Products!$D$2:$D$201,MATCH($B375,Products!$A$2:$A$201,0)),0))</f>
        <v/>
      </c>
      <c r="H375" s="17" t="str">
        <f aca="false">IF($B375="","",C375*G375*(1-D375))</f>
        <v/>
      </c>
      <c r="I375" s="17" t="str">
        <f aca="false">IF($B375="","",C375*IFERROR(INDEX(Products!$E$2:$E$201,MATCH($B375,Products!$A$2:$A$201,0)),0))</f>
        <v/>
      </c>
      <c r="J375" s="17" t="str">
        <f aca="false">IF($B375="","",H375-I375)</f>
        <v/>
      </c>
      <c r="K375" s="16" t="str">
        <f aca="false">IF($A375="","",DATE(YEAR($A375),MONTH($A375),1))</f>
        <v/>
      </c>
    </row>
    <row r="376" customFormat="false" ht="15" hidden="false" customHeight="false" outlineLevel="0" collapsed="false">
      <c r="A376" s="25"/>
      <c r="B376" s="19"/>
      <c r="C376" s="19"/>
      <c r="D376" s="26"/>
      <c r="E376" s="27" t="str">
        <f aca="false">IF($B376="","",IFERROR(INDEX(Products!$B$2:$B$201,MATCH($B376,Products!$A$2:$A$201,0)),"Unknown code"))</f>
        <v/>
      </c>
      <c r="F376" s="22" t="str">
        <f aca="false">IF($B376="","",IFERROR(INDEX(Products!$C$2:$C$201,MATCH($B376,Products!$A$2:$A$201,0)),""))</f>
        <v/>
      </c>
      <c r="G376" s="17" t="str">
        <f aca="false">IF($B376="","",IFERROR(INDEX(Products!$D$2:$D$201,MATCH($B376,Products!$A$2:$A$201,0)),0))</f>
        <v/>
      </c>
      <c r="H376" s="17" t="str">
        <f aca="false">IF($B376="","",C376*G376*(1-D376))</f>
        <v/>
      </c>
      <c r="I376" s="17" t="str">
        <f aca="false">IF($B376="","",C376*IFERROR(INDEX(Products!$E$2:$E$201,MATCH($B376,Products!$A$2:$A$201,0)),0))</f>
        <v/>
      </c>
      <c r="J376" s="17" t="str">
        <f aca="false">IF($B376="","",H376-I376)</f>
        <v/>
      </c>
      <c r="K376" s="16" t="str">
        <f aca="false">IF($A376="","",DATE(YEAR($A376),MONTH($A376),1))</f>
        <v/>
      </c>
    </row>
    <row r="377" customFormat="false" ht="15" hidden="false" customHeight="false" outlineLevel="0" collapsed="false">
      <c r="A377" s="25"/>
      <c r="B377" s="19"/>
      <c r="C377" s="19"/>
      <c r="D377" s="26"/>
      <c r="E377" s="27" t="str">
        <f aca="false">IF($B377="","",IFERROR(INDEX(Products!$B$2:$B$201,MATCH($B377,Products!$A$2:$A$201,0)),"Unknown code"))</f>
        <v/>
      </c>
      <c r="F377" s="22" t="str">
        <f aca="false">IF($B377="","",IFERROR(INDEX(Products!$C$2:$C$201,MATCH($B377,Products!$A$2:$A$201,0)),""))</f>
        <v/>
      </c>
      <c r="G377" s="17" t="str">
        <f aca="false">IF($B377="","",IFERROR(INDEX(Products!$D$2:$D$201,MATCH($B377,Products!$A$2:$A$201,0)),0))</f>
        <v/>
      </c>
      <c r="H377" s="17" t="str">
        <f aca="false">IF($B377="","",C377*G377*(1-D377))</f>
        <v/>
      </c>
      <c r="I377" s="17" t="str">
        <f aca="false">IF($B377="","",C377*IFERROR(INDEX(Products!$E$2:$E$201,MATCH($B377,Products!$A$2:$A$201,0)),0))</f>
        <v/>
      </c>
      <c r="J377" s="17" t="str">
        <f aca="false">IF($B377="","",H377-I377)</f>
        <v/>
      </c>
      <c r="K377" s="16" t="str">
        <f aca="false">IF($A377="","",DATE(YEAR($A377),MONTH($A377),1))</f>
        <v/>
      </c>
    </row>
    <row r="378" customFormat="false" ht="15" hidden="false" customHeight="false" outlineLevel="0" collapsed="false">
      <c r="A378" s="25"/>
      <c r="B378" s="19"/>
      <c r="C378" s="19"/>
      <c r="D378" s="26"/>
      <c r="E378" s="27" t="str">
        <f aca="false">IF($B378="","",IFERROR(INDEX(Products!$B$2:$B$201,MATCH($B378,Products!$A$2:$A$201,0)),"Unknown code"))</f>
        <v/>
      </c>
      <c r="F378" s="22" t="str">
        <f aca="false">IF($B378="","",IFERROR(INDEX(Products!$C$2:$C$201,MATCH($B378,Products!$A$2:$A$201,0)),""))</f>
        <v/>
      </c>
      <c r="G378" s="17" t="str">
        <f aca="false">IF($B378="","",IFERROR(INDEX(Products!$D$2:$D$201,MATCH($B378,Products!$A$2:$A$201,0)),0))</f>
        <v/>
      </c>
      <c r="H378" s="17" t="str">
        <f aca="false">IF($B378="","",C378*G378*(1-D378))</f>
        <v/>
      </c>
      <c r="I378" s="17" t="str">
        <f aca="false">IF($B378="","",C378*IFERROR(INDEX(Products!$E$2:$E$201,MATCH($B378,Products!$A$2:$A$201,0)),0))</f>
        <v/>
      </c>
      <c r="J378" s="17" t="str">
        <f aca="false">IF($B378="","",H378-I378)</f>
        <v/>
      </c>
      <c r="K378" s="16" t="str">
        <f aca="false">IF($A378="","",DATE(YEAR($A378),MONTH($A378),1))</f>
        <v/>
      </c>
    </row>
    <row r="379" customFormat="false" ht="15" hidden="false" customHeight="false" outlineLevel="0" collapsed="false">
      <c r="A379" s="25"/>
      <c r="B379" s="19"/>
      <c r="C379" s="19"/>
      <c r="D379" s="26"/>
      <c r="E379" s="27" t="str">
        <f aca="false">IF($B379="","",IFERROR(INDEX(Products!$B$2:$B$201,MATCH($B379,Products!$A$2:$A$201,0)),"Unknown code"))</f>
        <v/>
      </c>
      <c r="F379" s="22" t="str">
        <f aca="false">IF($B379="","",IFERROR(INDEX(Products!$C$2:$C$201,MATCH($B379,Products!$A$2:$A$201,0)),""))</f>
        <v/>
      </c>
      <c r="G379" s="17" t="str">
        <f aca="false">IF($B379="","",IFERROR(INDEX(Products!$D$2:$D$201,MATCH($B379,Products!$A$2:$A$201,0)),0))</f>
        <v/>
      </c>
      <c r="H379" s="17" t="str">
        <f aca="false">IF($B379="","",C379*G379*(1-D379))</f>
        <v/>
      </c>
      <c r="I379" s="17" t="str">
        <f aca="false">IF($B379="","",C379*IFERROR(INDEX(Products!$E$2:$E$201,MATCH($B379,Products!$A$2:$A$201,0)),0))</f>
        <v/>
      </c>
      <c r="J379" s="17" t="str">
        <f aca="false">IF($B379="","",H379-I379)</f>
        <v/>
      </c>
      <c r="K379" s="16" t="str">
        <f aca="false">IF($A379="","",DATE(YEAR($A379),MONTH($A379),1))</f>
        <v/>
      </c>
    </row>
    <row r="380" customFormat="false" ht="15" hidden="false" customHeight="false" outlineLevel="0" collapsed="false">
      <c r="A380" s="25"/>
      <c r="B380" s="19"/>
      <c r="C380" s="19"/>
      <c r="D380" s="26"/>
      <c r="E380" s="27" t="str">
        <f aca="false">IF($B380="","",IFERROR(INDEX(Products!$B$2:$B$201,MATCH($B380,Products!$A$2:$A$201,0)),"Unknown code"))</f>
        <v/>
      </c>
      <c r="F380" s="22" t="str">
        <f aca="false">IF($B380="","",IFERROR(INDEX(Products!$C$2:$C$201,MATCH($B380,Products!$A$2:$A$201,0)),""))</f>
        <v/>
      </c>
      <c r="G380" s="17" t="str">
        <f aca="false">IF($B380="","",IFERROR(INDEX(Products!$D$2:$D$201,MATCH($B380,Products!$A$2:$A$201,0)),0))</f>
        <v/>
      </c>
      <c r="H380" s="17" t="str">
        <f aca="false">IF($B380="","",C380*G380*(1-D380))</f>
        <v/>
      </c>
      <c r="I380" s="17" t="str">
        <f aca="false">IF($B380="","",C380*IFERROR(INDEX(Products!$E$2:$E$201,MATCH($B380,Products!$A$2:$A$201,0)),0))</f>
        <v/>
      </c>
      <c r="J380" s="17" t="str">
        <f aca="false">IF($B380="","",H380-I380)</f>
        <v/>
      </c>
      <c r="K380" s="16" t="str">
        <f aca="false">IF($A380="","",DATE(YEAR($A380),MONTH($A380),1))</f>
        <v/>
      </c>
    </row>
    <row r="381" customFormat="false" ht="15" hidden="false" customHeight="false" outlineLevel="0" collapsed="false">
      <c r="A381" s="25"/>
      <c r="B381" s="19"/>
      <c r="C381" s="19"/>
      <c r="D381" s="26"/>
      <c r="E381" s="27" t="str">
        <f aca="false">IF($B381="","",IFERROR(INDEX(Products!$B$2:$B$201,MATCH($B381,Products!$A$2:$A$201,0)),"Unknown code"))</f>
        <v/>
      </c>
      <c r="F381" s="22" t="str">
        <f aca="false">IF($B381="","",IFERROR(INDEX(Products!$C$2:$C$201,MATCH($B381,Products!$A$2:$A$201,0)),""))</f>
        <v/>
      </c>
      <c r="G381" s="17" t="str">
        <f aca="false">IF($B381="","",IFERROR(INDEX(Products!$D$2:$D$201,MATCH($B381,Products!$A$2:$A$201,0)),0))</f>
        <v/>
      </c>
      <c r="H381" s="17" t="str">
        <f aca="false">IF($B381="","",C381*G381*(1-D381))</f>
        <v/>
      </c>
      <c r="I381" s="17" t="str">
        <f aca="false">IF($B381="","",C381*IFERROR(INDEX(Products!$E$2:$E$201,MATCH($B381,Products!$A$2:$A$201,0)),0))</f>
        <v/>
      </c>
      <c r="J381" s="17" t="str">
        <f aca="false">IF($B381="","",H381-I381)</f>
        <v/>
      </c>
      <c r="K381" s="16" t="str">
        <f aca="false">IF($A381="","",DATE(YEAR($A381),MONTH($A381),1))</f>
        <v/>
      </c>
    </row>
    <row r="382" customFormat="false" ht="15" hidden="false" customHeight="false" outlineLevel="0" collapsed="false">
      <c r="A382" s="25"/>
      <c r="B382" s="19"/>
      <c r="C382" s="19"/>
      <c r="D382" s="26"/>
      <c r="E382" s="27" t="str">
        <f aca="false">IF($B382="","",IFERROR(INDEX(Products!$B$2:$B$201,MATCH($B382,Products!$A$2:$A$201,0)),"Unknown code"))</f>
        <v/>
      </c>
      <c r="F382" s="22" t="str">
        <f aca="false">IF($B382="","",IFERROR(INDEX(Products!$C$2:$C$201,MATCH($B382,Products!$A$2:$A$201,0)),""))</f>
        <v/>
      </c>
      <c r="G382" s="17" t="str">
        <f aca="false">IF($B382="","",IFERROR(INDEX(Products!$D$2:$D$201,MATCH($B382,Products!$A$2:$A$201,0)),0))</f>
        <v/>
      </c>
      <c r="H382" s="17" t="str">
        <f aca="false">IF($B382="","",C382*G382*(1-D382))</f>
        <v/>
      </c>
      <c r="I382" s="17" t="str">
        <f aca="false">IF($B382="","",C382*IFERROR(INDEX(Products!$E$2:$E$201,MATCH($B382,Products!$A$2:$A$201,0)),0))</f>
        <v/>
      </c>
      <c r="J382" s="17" t="str">
        <f aca="false">IF($B382="","",H382-I382)</f>
        <v/>
      </c>
      <c r="K382" s="16" t="str">
        <f aca="false">IF($A382="","",DATE(YEAR($A382),MONTH($A382),1))</f>
        <v/>
      </c>
    </row>
    <row r="383" customFormat="false" ht="15" hidden="false" customHeight="false" outlineLevel="0" collapsed="false">
      <c r="A383" s="25"/>
      <c r="B383" s="19"/>
      <c r="C383" s="19"/>
      <c r="D383" s="26"/>
      <c r="E383" s="27" t="str">
        <f aca="false">IF($B383="","",IFERROR(INDEX(Products!$B$2:$B$201,MATCH($B383,Products!$A$2:$A$201,0)),"Unknown code"))</f>
        <v/>
      </c>
      <c r="F383" s="22" t="str">
        <f aca="false">IF($B383="","",IFERROR(INDEX(Products!$C$2:$C$201,MATCH($B383,Products!$A$2:$A$201,0)),""))</f>
        <v/>
      </c>
      <c r="G383" s="17" t="str">
        <f aca="false">IF($B383="","",IFERROR(INDEX(Products!$D$2:$D$201,MATCH($B383,Products!$A$2:$A$201,0)),0))</f>
        <v/>
      </c>
      <c r="H383" s="17" t="str">
        <f aca="false">IF($B383="","",C383*G383*(1-D383))</f>
        <v/>
      </c>
      <c r="I383" s="17" t="str">
        <f aca="false">IF($B383="","",C383*IFERROR(INDEX(Products!$E$2:$E$201,MATCH($B383,Products!$A$2:$A$201,0)),0))</f>
        <v/>
      </c>
      <c r="J383" s="17" t="str">
        <f aca="false">IF($B383="","",H383-I383)</f>
        <v/>
      </c>
      <c r="K383" s="16" t="str">
        <f aca="false">IF($A383="","",DATE(YEAR($A383),MONTH($A383),1))</f>
        <v/>
      </c>
    </row>
    <row r="384" customFormat="false" ht="15" hidden="false" customHeight="false" outlineLevel="0" collapsed="false">
      <c r="A384" s="25"/>
      <c r="B384" s="19"/>
      <c r="C384" s="19"/>
      <c r="D384" s="26"/>
      <c r="E384" s="27" t="str">
        <f aca="false">IF($B384="","",IFERROR(INDEX(Products!$B$2:$B$201,MATCH($B384,Products!$A$2:$A$201,0)),"Unknown code"))</f>
        <v/>
      </c>
      <c r="F384" s="22" t="str">
        <f aca="false">IF($B384="","",IFERROR(INDEX(Products!$C$2:$C$201,MATCH($B384,Products!$A$2:$A$201,0)),""))</f>
        <v/>
      </c>
      <c r="G384" s="17" t="str">
        <f aca="false">IF($B384="","",IFERROR(INDEX(Products!$D$2:$D$201,MATCH($B384,Products!$A$2:$A$201,0)),0))</f>
        <v/>
      </c>
      <c r="H384" s="17" t="str">
        <f aca="false">IF($B384="","",C384*G384*(1-D384))</f>
        <v/>
      </c>
      <c r="I384" s="17" t="str">
        <f aca="false">IF($B384="","",C384*IFERROR(INDEX(Products!$E$2:$E$201,MATCH($B384,Products!$A$2:$A$201,0)),0))</f>
        <v/>
      </c>
      <c r="J384" s="17" t="str">
        <f aca="false">IF($B384="","",H384-I384)</f>
        <v/>
      </c>
      <c r="K384" s="16" t="str">
        <f aca="false">IF($A384="","",DATE(YEAR($A384),MONTH($A384),1))</f>
        <v/>
      </c>
    </row>
    <row r="385" customFormat="false" ht="15" hidden="false" customHeight="false" outlineLevel="0" collapsed="false">
      <c r="A385" s="25"/>
      <c r="B385" s="19"/>
      <c r="C385" s="19"/>
      <c r="D385" s="26"/>
      <c r="E385" s="27" t="str">
        <f aca="false">IF($B385="","",IFERROR(INDEX(Products!$B$2:$B$201,MATCH($B385,Products!$A$2:$A$201,0)),"Unknown code"))</f>
        <v/>
      </c>
      <c r="F385" s="22" t="str">
        <f aca="false">IF($B385="","",IFERROR(INDEX(Products!$C$2:$C$201,MATCH($B385,Products!$A$2:$A$201,0)),""))</f>
        <v/>
      </c>
      <c r="G385" s="17" t="str">
        <f aca="false">IF($B385="","",IFERROR(INDEX(Products!$D$2:$D$201,MATCH($B385,Products!$A$2:$A$201,0)),0))</f>
        <v/>
      </c>
      <c r="H385" s="17" t="str">
        <f aca="false">IF($B385="","",C385*G385*(1-D385))</f>
        <v/>
      </c>
      <c r="I385" s="17" t="str">
        <f aca="false">IF($B385="","",C385*IFERROR(INDEX(Products!$E$2:$E$201,MATCH($B385,Products!$A$2:$A$201,0)),0))</f>
        <v/>
      </c>
      <c r="J385" s="17" t="str">
        <f aca="false">IF($B385="","",H385-I385)</f>
        <v/>
      </c>
      <c r="K385" s="16" t="str">
        <f aca="false">IF($A385="","",DATE(YEAR($A385),MONTH($A385),1))</f>
        <v/>
      </c>
    </row>
    <row r="386" customFormat="false" ht="15" hidden="false" customHeight="false" outlineLevel="0" collapsed="false">
      <c r="A386" s="25"/>
      <c r="B386" s="19"/>
      <c r="C386" s="19"/>
      <c r="D386" s="26"/>
      <c r="E386" s="27" t="str">
        <f aca="false">IF($B386="","",IFERROR(INDEX(Products!$B$2:$B$201,MATCH($B386,Products!$A$2:$A$201,0)),"Unknown code"))</f>
        <v/>
      </c>
      <c r="F386" s="22" t="str">
        <f aca="false">IF($B386="","",IFERROR(INDEX(Products!$C$2:$C$201,MATCH($B386,Products!$A$2:$A$201,0)),""))</f>
        <v/>
      </c>
      <c r="G386" s="17" t="str">
        <f aca="false">IF($B386="","",IFERROR(INDEX(Products!$D$2:$D$201,MATCH($B386,Products!$A$2:$A$201,0)),0))</f>
        <v/>
      </c>
      <c r="H386" s="17" t="str">
        <f aca="false">IF($B386="","",C386*G386*(1-D386))</f>
        <v/>
      </c>
      <c r="I386" s="17" t="str">
        <f aca="false">IF($B386="","",C386*IFERROR(INDEX(Products!$E$2:$E$201,MATCH($B386,Products!$A$2:$A$201,0)),0))</f>
        <v/>
      </c>
      <c r="J386" s="17" t="str">
        <f aca="false">IF($B386="","",H386-I386)</f>
        <v/>
      </c>
      <c r="K386" s="16" t="str">
        <f aca="false">IF($A386="","",DATE(YEAR($A386),MONTH($A386),1))</f>
        <v/>
      </c>
    </row>
    <row r="387" customFormat="false" ht="15" hidden="false" customHeight="false" outlineLevel="0" collapsed="false">
      <c r="A387" s="25"/>
      <c r="B387" s="19"/>
      <c r="C387" s="19"/>
      <c r="D387" s="26"/>
      <c r="E387" s="27" t="str">
        <f aca="false">IF($B387="","",IFERROR(INDEX(Products!$B$2:$B$201,MATCH($B387,Products!$A$2:$A$201,0)),"Unknown code"))</f>
        <v/>
      </c>
      <c r="F387" s="22" t="str">
        <f aca="false">IF($B387="","",IFERROR(INDEX(Products!$C$2:$C$201,MATCH($B387,Products!$A$2:$A$201,0)),""))</f>
        <v/>
      </c>
      <c r="G387" s="17" t="str">
        <f aca="false">IF($B387="","",IFERROR(INDEX(Products!$D$2:$D$201,MATCH($B387,Products!$A$2:$A$201,0)),0))</f>
        <v/>
      </c>
      <c r="H387" s="17" t="str">
        <f aca="false">IF($B387="","",C387*G387*(1-D387))</f>
        <v/>
      </c>
      <c r="I387" s="17" t="str">
        <f aca="false">IF($B387="","",C387*IFERROR(INDEX(Products!$E$2:$E$201,MATCH($B387,Products!$A$2:$A$201,0)),0))</f>
        <v/>
      </c>
      <c r="J387" s="17" t="str">
        <f aca="false">IF($B387="","",H387-I387)</f>
        <v/>
      </c>
      <c r="K387" s="16" t="str">
        <f aca="false">IF($A387="","",DATE(YEAR($A387),MONTH($A387),1))</f>
        <v/>
      </c>
    </row>
    <row r="388" customFormat="false" ht="15" hidden="false" customHeight="false" outlineLevel="0" collapsed="false">
      <c r="A388" s="25"/>
      <c r="B388" s="19"/>
      <c r="C388" s="19"/>
      <c r="D388" s="26"/>
      <c r="E388" s="27" t="str">
        <f aca="false">IF($B388="","",IFERROR(INDEX(Products!$B$2:$B$201,MATCH($B388,Products!$A$2:$A$201,0)),"Unknown code"))</f>
        <v/>
      </c>
      <c r="F388" s="22" t="str">
        <f aca="false">IF($B388="","",IFERROR(INDEX(Products!$C$2:$C$201,MATCH($B388,Products!$A$2:$A$201,0)),""))</f>
        <v/>
      </c>
      <c r="G388" s="17" t="str">
        <f aca="false">IF($B388="","",IFERROR(INDEX(Products!$D$2:$D$201,MATCH($B388,Products!$A$2:$A$201,0)),0))</f>
        <v/>
      </c>
      <c r="H388" s="17" t="str">
        <f aca="false">IF($B388="","",C388*G388*(1-D388))</f>
        <v/>
      </c>
      <c r="I388" s="17" t="str">
        <f aca="false">IF($B388="","",C388*IFERROR(INDEX(Products!$E$2:$E$201,MATCH($B388,Products!$A$2:$A$201,0)),0))</f>
        <v/>
      </c>
      <c r="J388" s="17" t="str">
        <f aca="false">IF($B388="","",H388-I388)</f>
        <v/>
      </c>
      <c r="K388" s="16" t="str">
        <f aca="false">IF($A388="","",DATE(YEAR($A388),MONTH($A388),1))</f>
        <v/>
      </c>
    </row>
    <row r="389" customFormat="false" ht="15" hidden="false" customHeight="false" outlineLevel="0" collapsed="false">
      <c r="A389" s="25"/>
      <c r="B389" s="19"/>
      <c r="C389" s="19"/>
      <c r="D389" s="26"/>
      <c r="E389" s="27" t="str">
        <f aca="false">IF($B389="","",IFERROR(INDEX(Products!$B$2:$B$201,MATCH($B389,Products!$A$2:$A$201,0)),"Unknown code"))</f>
        <v/>
      </c>
      <c r="F389" s="22" t="str">
        <f aca="false">IF($B389="","",IFERROR(INDEX(Products!$C$2:$C$201,MATCH($B389,Products!$A$2:$A$201,0)),""))</f>
        <v/>
      </c>
      <c r="G389" s="17" t="str">
        <f aca="false">IF($B389="","",IFERROR(INDEX(Products!$D$2:$D$201,MATCH($B389,Products!$A$2:$A$201,0)),0))</f>
        <v/>
      </c>
      <c r="H389" s="17" t="str">
        <f aca="false">IF($B389="","",C389*G389*(1-D389))</f>
        <v/>
      </c>
      <c r="I389" s="17" t="str">
        <f aca="false">IF($B389="","",C389*IFERROR(INDEX(Products!$E$2:$E$201,MATCH($B389,Products!$A$2:$A$201,0)),0))</f>
        <v/>
      </c>
      <c r="J389" s="17" t="str">
        <f aca="false">IF($B389="","",H389-I389)</f>
        <v/>
      </c>
      <c r="K389" s="16" t="str">
        <f aca="false">IF($A389="","",DATE(YEAR($A389),MONTH($A389),1))</f>
        <v/>
      </c>
    </row>
    <row r="390" customFormat="false" ht="15" hidden="false" customHeight="false" outlineLevel="0" collapsed="false">
      <c r="A390" s="25"/>
      <c r="B390" s="19"/>
      <c r="C390" s="19"/>
      <c r="D390" s="26"/>
      <c r="E390" s="27" t="str">
        <f aca="false">IF($B390="","",IFERROR(INDEX(Products!$B$2:$B$201,MATCH($B390,Products!$A$2:$A$201,0)),"Unknown code"))</f>
        <v/>
      </c>
      <c r="F390" s="22" t="str">
        <f aca="false">IF($B390="","",IFERROR(INDEX(Products!$C$2:$C$201,MATCH($B390,Products!$A$2:$A$201,0)),""))</f>
        <v/>
      </c>
      <c r="G390" s="17" t="str">
        <f aca="false">IF($B390="","",IFERROR(INDEX(Products!$D$2:$D$201,MATCH($B390,Products!$A$2:$A$201,0)),0))</f>
        <v/>
      </c>
      <c r="H390" s="17" t="str">
        <f aca="false">IF($B390="","",C390*G390*(1-D390))</f>
        <v/>
      </c>
      <c r="I390" s="17" t="str">
        <f aca="false">IF($B390="","",C390*IFERROR(INDEX(Products!$E$2:$E$201,MATCH($B390,Products!$A$2:$A$201,0)),0))</f>
        <v/>
      </c>
      <c r="J390" s="17" t="str">
        <f aca="false">IF($B390="","",H390-I390)</f>
        <v/>
      </c>
      <c r="K390" s="16" t="str">
        <f aca="false">IF($A390="","",DATE(YEAR($A390),MONTH($A390),1))</f>
        <v/>
      </c>
    </row>
    <row r="391" customFormat="false" ht="15" hidden="false" customHeight="false" outlineLevel="0" collapsed="false">
      <c r="A391" s="25"/>
      <c r="B391" s="19"/>
      <c r="C391" s="19"/>
      <c r="D391" s="26"/>
      <c r="E391" s="27" t="str">
        <f aca="false">IF($B391="","",IFERROR(INDEX(Products!$B$2:$B$201,MATCH($B391,Products!$A$2:$A$201,0)),"Unknown code"))</f>
        <v/>
      </c>
      <c r="F391" s="22" t="str">
        <f aca="false">IF($B391="","",IFERROR(INDEX(Products!$C$2:$C$201,MATCH($B391,Products!$A$2:$A$201,0)),""))</f>
        <v/>
      </c>
      <c r="G391" s="17" t="str">
        <f aca="false">IF($B391="","",IFERROR(INDEX(Products!$D$2:$D$201,MATCH($B391,Products!$A$2:$A$201,0)),0))</f>
        <v/>
      </c>
      <c r="H391" s="17" t="str">
        <f aca="false">IF($B391="","",C391*G391*(1-D391))</f>
        <v/>
      </c>
      <c r="I391" s="17" t="str">
        <f aca="false">IF($B391="","",C391*IFERROR(INDEX(Products!$E$2:$E$201,MATCH($B391,Products!$A$2:$A$201,0)),0))</f>
        <v/>
      </c>
      <c r="J391" s="17" t="str">
        <f aca="false">IF($B391="","",H391-I391)</f>
        <v/>
      </c>
      <c r="K391" s="16" t="str">
        <f aca="false">IF($A391="","",DATE(YEAR($A391),MONTH($A391),1))</f>
        <v/>
      </c>
    </row>
    <row r="392" customFormat="false" ht="15" hidden="false" customHeight="false" outlineLevel="0" collapsed="false">
      <c r="A392" s="25"/>
      <c r="B392" s="19"/>
      <c r="C392" s="19"/>
      <c r="D392" s="26"/>
      <c r="E392" s="27" t="str">
        <f aca="false">IF($B392="","",IFERROR(INDEX(Products!$B$2:$B$201,MATCH($B392,Products!$A$2:$A$201,0)),"Unknown code"))</f>
        <v/>
      </c>
      <c r="F392" s="22" t="str">
        <f aca="false">IF($B392="","",IFERROR(INDEX(Products!$C$2:$C$201,MATCH($B392,Products!$A$2:$A$201,0)),""))</f>
        <v/>
      </c>
      <c r="G392" s="17" t="str">
        <f aca="false">IF($B392="","",IFERROR(INDEX(Products!$D$2:$D$201,MATCH($B392,Products!$A$2:$A$201,0)),0))</f>
        <v/>
      </c>
      <c r="H392" s="17" t="str">
        <f aca="false">IF($B392="","",C392*G392*(1-D392))</f>
        <v/>
      </c>
      <c r="I392" s="17" t="str">
        <f aca="false">IF($B392="","",C392*IFERROR(INDEX(Products!$E$2:$E$201,MATCH($B392,Products!$A$2:$A$201,0)),0))</f>
        <v/>
      </c>
      <c r="J392" s="17" t="str">
        <f aca="false">IF($B392="","",H392-I392)</f>
        <v/>
      </c>
      <c r="K392" s="16" t="str">
        <f aca="false">IF($A392="","",DATE(YEAR($A392),MONTH($A392),1))</f>
        <v/>
      </c>
    </row>
    <row r="393" customFormat="false" ht="15" hidden="false" customHeight="false" outlineLevel="0" collapsed="false">
      <c r="A393" s="25"/>
      <c r="B393" s="19"/>
      <c r="C393" s="19"/>
      <c r="D393" s="26"/>
      <c r="E393" s="27" t="str">
        <f aca="false">IF($B393="","",IFERROR(INDEX(Products!$B$2:$B$201,MATCH($B393,Products!$A$2:$A$201,0)),"Unknown code"))</f>
        <v/>
      </c>
      <c r="F393" s="22" t="str">
        <f aca="false">IF($B393="","",IFERROR(INDEX(Products!$C$2:$C$201,MATCH($B393,Products!$A$2:$A$201,0)),""))</f>
        <v/>
      </c>
      <c r="G393" s="17" t="str">
        <f aca="false">IF($B393="","",IFERROR(INDEX(Products!$D$2:$D$201,MATCH($B393,Products!$A$2:$A$201,0)),0))</f>
        <v/>
      </c>
      <c r="H393" s="17" t="str">
        <f aca="false">IF($B393="","",C393*G393*(1-D393))</f>
        <v/>
      </c>
      <c r="I393" s="17" t="str">
        <f aca="false">IF($B393="","",C393*IFERROR(INDEX(Products!$E$2:$E$201,MATCH($B393,Products!$A$2:$A$201,0)),0))</f>
        <v/>
      </c>
      <c r="J393" s="17" t="str">
        <f aca="false">IF($B393="","",H393-I393)</f>
        <v/>
      </c>
      <c r="K393" s="16" t="str">
        <f aca="false">IF($A393="","",DATE(YEAR($A393),MONTH($A393),1))</f>
        <v/>
      </c>
    </row>
    <row r="394" customFormat="false" ht="15" hidden="false" customHeight="false" outlineLevel="0" collapsed="false">
      <c r="A394" s="25"/>
      <c r="B394" s="19"/>
      <c r="C394" s="19"/>
      <c r="D394" s="26"/>
      <c r="E394" s="27" t="str">
        <f aca="false">IF($B394="","",IFERROR(INDEX(Products!$B$2:$B$201,MATCH($B394,Products!$A$2:$A$201,0)),"Unknown code"))</f>
        <v/>
      </c>
      <c r="F394" s="22" t="str">
        <f aca="false">IF($B394="","",IFERROR(INDEX(Products!$C$2:$C$201,MATCH($B394,Products!$A$2:$A$201,0)),""))</f>
        <v/>
      </c>
      <c r="G394" s="17" t="str">
        <f aca="false">IF($B394="","",IFERROR(INDEX(Products!$D$2:$D$201,MATCH($B394,Products!$A$2:$A$201,0)),0))</f>
        <v/>
      </c>
      <c r="H394" s="17" t="str">
        <f aca="false">IF($B394="","",C394*G394*(1-D394))</f>
        <v/>
      </c>
      <c r="I394" s="17" t="str">
        <f aca="false">IF($B394="","",C394*IFERROR(INDEX(Products!$E$2:$E$201,MATCH($B394,Products!$A$2:$A$201,0)),0))</f>
        <v/>
      </c>
      <c r="J394" s="17" t="str">
        <f aca="false">IF($B394="","",H394-I394)</f>
        <v/>
      </c>
      <c r="K394" s="16" t="str">
        <f aca="false">IF($A394="","",DATE(YEAR($A394),MONTH($A394),1))</f>
        <v/>
      </c>
    </row>
    <row r="395" customFormat="false" ht="15" hidden="false" customHeight="false" outlineLevel="0" collapsed="false">
      <c r="A395" s="25"/>
      <c r="B395" s="19"/>
      <c r="C395" s="19"/>
      <c r="D395" s="26"/>
      <c r="E395" s="27" t="str">
        <f aca="false">IF($B395="","",IFERROR(INDEX(Products!$B$2:$B$201,MATCH($B395,Products!$A$2:$A$201,0)),"Unknown code"))</f>
        <v/>
      </c>
      <c r="F395" s="22" t="str">
        <f aca="false">IF($B395="","",IFERROR(INDEX(Products!$C$2:$C$201,MATCH($B395,Products!$A$2:$A$201,0)),""))</f>
        <v/>
      </c>
      <c r="G395" s="17" t="str">
        <f aca="false">IF($B395="","",IFERROR(INDEX(Products!$D$2:$D$201,MATCH($B395,Products!$A$2:$A$201,0)),0))</f>
        <v/>
      </c>
      <c r="H395" s="17" t="str">
        <f aca="false">IF($B395="","",C395*G395*(1-D395))</f>
        <v/>
      </c>
      <c r="I395" s="17" t="str">
        <f aca="false">IF($B395="","",C395*IFERROR(INDEX(Products!$E$2:$E$201,MATCH($B395,Products!$A$2:$A$201,0)),0))</f>
        <v/>
      </c>
      <c r="J395" s="17" t="str">
        <f aca="false">IF($B395="","",H395-I395)</f>
        <v/>
      </c>
      <c r="K395" s="16" t="str">
        <f aca="false">IF($A395="","",DATE(YEAR($A395),MONTH($A395),1))</f>
        <v/>
      </c>
    </row>
    <row r="396" customFormat="false" ht="15" hidden="false" customHeight="false" outlineLevel="0" collapsed="false">
      <c r="A396" s="25"/>
      <c r="B396" s="19"/>
      <c r="C396" s="19"/>
      <c r="D396" s="26"/>
      <c r="E396" s="27" t="str">
        <f aca="false">IF($B396="","",IFERROR(INDEX(Products!$B$2:$B$201,MATCH($B396,Products!$A$2:$A$201,0)),"Unknown code"))</f>
        <v/>
      </c>
      <c r="F396" s="22" t="str">
        <f aca="false">IF($B396="","",IFERROR(INDEX(Products!$C$2:$C$201,MATCH($B396,Products!$A$2:$A$201,0)),""))</f>
        <v/>
      </c>
      <c r="G396" s="17" t="str">
        <f aca="false">IF($B396="","",IFERROR(INDEX(Products!$D$2:$D$201,MATCH($B396,Products!$A$2:$A$201,0)),0))</f>
        <v/>
      </c>
      <c r="H396" s="17" t="str">
        <f aca="false">IF($B396="","",C396*G396*(1-D396))</f>
        <v/>
      </c>
      <c r="I396" s="17" t="str">
        <f aca="false">IF($B396="","",C396*IFERROR(INDEX(Products!$E$2:$E$201,MATCH($B396,Products!$A$2:$A$201,0)),0))</f>
        <v/>
      </c>
      <c r="J396" s="17" t="str">
        <f aca="false">IF($B396="","",H396-I396)</f>
        <v/>
      </c>
      <c r="K396" s="16" t="str">
        <f aca="false">IF($A396="","",DATE(YEAR($A396),MONTH($A396),1))</f>
        <v/>
      </c>
    </row>
    <row r="397" customFormat="false" ht="15" hidden="false" customHeight="false" outlineLevel="0" collapsed="false">
      <c r="A397" s="25"/>
      <c r="B397" s="19"/>
      <c r="C397" s="19"/>
      <c r="D397" s="26"/>
      <c r="E397" s="27" t="str">
        <f aca="false">IF($B397="","",IFERROR(INDEX(Products!$B$2:$B$201,MATCH($B397,Products!$A$2:$A$201,0)),"Unknown code"))</f>
        <v/>
      </c>
      <c r="F397" s="22" t="str">
        <f aca="false">IF($B397="","",IFERROR(INDEX(Products!$C$2:$C$201,MATCH($B397,Products!$A$2:$A$201,0)),""))</f>
        <v/>
      </c>
      <c r="G397" s="17" t="str">
        <f aca="false">IF($B397="","",IFERROR(INDEX(Products!$D$2:$D$201,MATCH($B397,Products!$A$2:$A$201,0)),0))</f>
        <v/>
      </c>
      <c r="H397" s="17" t="str">
        <f aca="false">IF($B397="","",C397*G397*(1-D397))</f>
        <v/>
      </c>
      <c r="I397" s="17" t="str">
        <f aca="false">IF($B397="","",C397*IFERROR(INDEX(Products!$E$2:$E$201,MATCH($B397,Products!$A$2:$A$201,0)),0))</f>
        <v/>
      </c>
      <c r="J397" s="17" t="str">
        <f aca="false">IF($B397="","",H397-I397)</f>
        <v/>
      </c>
      <c r="K397" s="16" t="str">
        <f aca="false">IF($A397="","",DATE(YEAR($A397),MONTH($A397),1))</f>
        <v/>
      </c>
    </row>
    <row r="398" customFormat="false" ht="15" hidden="false" customHeight="false" outlineLevel="0" collapsed="false">
      <c r="A398" s="25"/>
      <c r="B398" s="19"/>
      <c r="C398" s="19"/>
      <c r="D398" s="26"/>
      <c r="E398" s="27" t="str">
        <f aca="false">IF($B398="","",IFERROR(INDEX(Products!$B$2:$B$201,MATCH($B398,Products!$A$2:$A$201,0)),"Unknown code"))</f>
        <v/>
      </c>
      <c r="F398" s="22" t="str">
        <f aca="false">IF($B398="","",IFERROR(INDEX(Products!$C$2:$C$201,MATCH($B398,Products!$A$2:$A$201,0)),""))</f>
        <v/>
      </c>
      <c r="G398" s="17" t="str">
        <f aca="false">IF($B398="","",IFERROR(INDEX(Products!$D$2:$D$201,MATCH($B398,Products!$A$2:$A$201,0)),0))</f>
        <v/>
      </c>
      <c r="H398" s="17" t="str">
        <f aca="false">IF($B398="","",C398*G398*(1-D398))</f>
        <v/>
      </c>
      <c r="I398" s="17" t="str">
        <f aca="false">IF($B398="","",C398*IFERROR(INDEX(Products!$E$2:$E$201,MATCH($B398,Products!$A$2:$A$201,0)),0))</f>
        <v/>
      </c>
      <c r="J398" s="17" t="str">
        <f aca="false">IF($B398="","",H398-I398)</f>
        <v/>
      </c>
      <c r="K398" s="16" t="str">
        <f aca="false">IF($A398="","",DATE(YEAR($A398),MONTH($A398),1))</f>
        <v/>
      </c>
    </row>
    <row r="399" customFormat="false" ht="15" hidden="false" customHeight="false" outlineLevel="0" collapsed="false">
      <c r="A399" s="25"/>
      <c r="B399" s="19"/>
      <c r="C399" s="19"/>
      <c r="D399" s="26"/>
      <c r="E399" s="27" t="str">
        <f aca="false">IF($B399="","",IFERROR(INDEX(Products!$B$2:$B$201,MATCH($B399,Products!$A$2:$A$201,0)),"Unknown code"))</f>
        <v/>
      </c>
      <c r="F399" s="22" t="str">
        <f aca="false">IF($B399="","",IFERROR(INDEX(Products!$C$2:$C$201,MATCH($B399,Products!$A$2:$A$201,0)),""))</f>
        <v/>
      </c>
      <c r="G399" s="17" t="str">
        <f aca="false">IF($B399="","",IFERROR(INDEX(Products!$D$2:$D$201,MATCH($B399,Products!$A$2:$A$201,0)),0))</f>
        <v/>
      </c>
      <c r="H399" s="17" t="str">
        <f aca="false">IF($B399="","",C399*G399*(1-D399))</f>
        <v/>
      </c>
      <c r="I399" s="17" t="str">
        <f aca="false">IF($B399="","",C399*IFERROR(INDEX(Products!$E$2:$E$201,MATCH($B399,Products!$A$2:$A$201,0)),0))</f>
        <v/>
      </c>
      <c r="J399" s="17" t="str">
        <f aca="false">IF($B399="","",H399-I399)</f>
        <v/>
      </c>
      <c r="K399" s="16" t="str">
        <f aca="false">IF($A399="","",DATE(YEAR($A399),MONTH($A399),1))</f>
        <v/>
      </c>
    </row>
    <row r="400" customFormat="false" ht="15" hidden="false" customHeight="false" outlineLevel="0" collapsed="false">
      <c r="A400" s="25"/>
      <c r="B400" s="19"/>
      <c r="C400" s="19"/>
      <c r="D400" s="26"/>
      <c r="E400" s="27" t="str">
        <f aca="false">IF($B400="","",IFERROR(INDEX(Products!$B$2:$B$201,MATCH($B400,Products!$A$2:$A$201,0)),"Unknown code"))</f>
        <v/>
      </c>
      <c r="F400" s="22" t="str">
        <f aca="false">IF($B400="","",IFERROR(INDEX(Products!$C$2:$C$201,MATCH($B400,Products!$A$2:$A$201,0)),""))</f>
        <v/>
      </c>
      <c r="G400" s="17" t="str">
        <f aca="false">IF($B400="","",IFERROR(INDEX(Products!$D$2:$D$201,MATCH($B400,Products!$A$2:$A$201,0)),0))</f>
        <v/>
      </c>
      <c r="H400" s="17" t="str">
        <f aca="false">IF($B400="","",C400*G400*(1-D400))</f>
        <v/>
      </c>
      <c r="I400" s="17" t="str">
        <f aca="false">IF($B400="","",C400*IFERROR(INDEX(Products!$E$2:$E$201,MATCH($B400,Products!$A$2:$A$201,0)),0))</f>
        <v/>
      </c>
      <c r="J400" s="17" t="str">
        <f aca="false">IF($B400="","",H400-I400)</f>
        <v/>
      </c>
      <c r="K400" s="16" t="str">
        <f aca="false">IF($A400="","",DATE(YEAR($A400),MONTH($A400),1))</f>
        <v/>
      </c>
    </row>
    <row r="401" customFormat="false" ht="15" hidden="false" customHeight="false" outlineLevel="0" collapsed="false">
      <c r="A401" s="25"/>
      <c r="B401" s="19"/>
      <c r="C401" s="19"/>
      <c r="D401" s="26"/>
      <c r="E401" s="27" t="str">
        <f aca="false">IF($B401="","",IFERROR(INDEX(Products!$B$2:$B$201,MATCH($B401,Products!$A$2:$A$201,0)),"Unknown code"))</f>
        <v/>
      </c>
      <c r="F401" s="22" t="str">
        <f aca="false">IF($B401="","",IFERROR(INDEX(Products!$C$2:$C$201,MATCH($B401,Products!$A$2:$A$201,0)),""))</f>
        <v/>
      </c>
      <c r="G401" s="17" t="str">
        <f aca="false">IF($B401="","",IFERROR(INDEX(Products!$D$2:$D$201,MATCH($B401,Products!$A$2:$A$201,0)),0))</f>
        <v/>
      </c>
      <c r="H401" s="17" t="str">
        <f aca="false">IF($B401="","",C401*G401*(1-D401))</f>
        <v/>
      </c>
      <c r="I401" s="17" t="str">
        <f aca="false">IF($B401="","",C401*IFERROR(INDEX(Products!$E$2:$E$201,MATCH($B401,Products!$A$2:$A$201,0)),0))</f>
        <v/>
      </c>
      <c r="J401" s="17" t="str">
        <f aca="false">IF($B401="","",H401-I401)</f>
        <v/>
      </c>
      <c r="K401" s="16" t="str">
        <f aca="false">IF($A401="","",DATE(YEAR($A401),MONTH($A401),1))</f>
        <v/>
      </c>
    </row>
    <row r="402" customFormat="false" ht="15" hidden="false" customHeight="false" outlineLevel="0" collapsed="false">
      <c r="A402" s="25"/>
      <c r="B402" s="19"/>
      <c r="C402" s="19"/>
      <c r="D402" s="26"/>
      <c r="E402" s="27" t="str">
        <f aca="false">IF($B402="","",IFERROR(INDEX(Products!$B$2:$B$201,MATCH($B402,Products!$A$2:$A$201,0)),"Unknown code"))</f>
        <v/>
      </c>
      <c r="F402" s="22" t="str">
        <f aca="false">IF($B402="","",IFERROR(INDEX(Products!$C$2:$C$201,MATCH($B402,Products!$A$2:$A$201,0)),""))</f>
        <v/>
      </c>
      <c r="G402" s="17" t="str">
        <f aca="false">IF($B402="","",IFERROR(INDEX(Products!$D$2:$D$201,MATCH($B402,Products!$A$2:$A$201,0)),0))</f>
        <v/>
      </c>
      <c r="H402" s="17" t="str">
        <f aca="false">IF($B402="","",C402*G402*(1-D402))</f>
        <v/>
      </c>
      <c r="I402" s="17" t="str">
        <f aca="false">IF($B402="","",C402*IFERROR(INDEX(Products!$E$2:$E$201,MATCH($B402,Products!$A$2:$A$201,0)),0))</f>
        <v/>
      </c>
      <c r="J402" s="17" t="str">
        <f aca="false">IF($B402="","",H402-I402)</f>
        <v/>
      </c>
      <c r="K402" s="16" t="str">
        <f aca="false">IF($A402="","",DATE(YEAR($A402),MONTH($A402),1))</f>
        <v/>
      </c>
    </row>
    <row r="403" customFormat="false" ht="15" hidden="false" customHeight="false" outlineLevel="0" collapsed="false">
      <c r="A403" s="25"/>
      <c r="B403" s="19"/>
      <c r="C403" s="19"/>
      <c r="D403" s="26"/>
      <c r="E403" s="27" t="str">
        <f aca="false">IF($B403="","",IFERROR(INDEX(Products!$B$2:$B$201,MATCH($B403,Products!$A$2:$A$201,0)),"Unknown code"))</f>
        <v/>
      </c>
      <c r="F403" s="22" t="str">
        <f aca="false">IF($B403="","",IFERROR(INDEX(Products!$C$2:$C$201,MATCH($B403,Products!$A$2:$A$201,0)),""))</f>
        <v/>
      </c>
      <c r="G403" s="17" t="str">
        <f aca="false">IF($B403="","",IFERROR(INDEX(Products!$D$2:$D$201,MATCH($B403,Products!$A$2:$A$201,0)),0))</f>
        <v/>
      </c>
      <c r="H403" s="17" t="str">
        <f aca="false">IF($B403="","",C403*G403*(1-D403))</f>
        <v/>
      </c>
      <c r="I403" s="17" t="str">
        <f aca="false">IF($B403="","",C403*IFERROR(INDEX(Products!$E$2:$E$201,MATCH($B403,Products!$A$2:$A$201,0)),0))</f>
        <v/>
      </c>
      <c r="J403" s="17" t="str">
        <f aca="false">IF($B403="","",H403-I403)</f>
        <v/>
      </c>
      <c r="K403" s="16" t="str">
        <f aca="false">IF($A403="","",DATE(YEAR($A403),MONTH($A403),1))</f>
        <v/>
      </c>
    </row>
    <row r="404" customFormat="false" ht="15" hidden="false" customHeight="false" outlineLevel="0" collapsed="false">
      <c r="A404" s="25"/>
      <c r="B404" s="19"/>
      <c r="C404" s="19"/>
      <c r="D404" s="26"/>
      <c r="E404" s="27" t="str">
        <f aca="false">IF($B404="","",IFERROR(INDEX(Products!$B$2:$B$201,MATCH($B404,Products!$A$2:$A$201,0)),"Unknown code"))</f>
        <v/>
      </c>
      <c r="F404" s="22" t="str">
        <f aca="false">IF($B404="","",IFERROR(INDEX(Products!$C$2:$C$201,MATCH($B404,Products!$A$2:$A$201,0)),""))</f>
        <v/>
      </c>
      <c r="G404" s="17" t="str">
        <f aca="false">IF($B404="","",IFERROR(INDEX(Products!$D$2:$D$201,MATCH($B404,Products!$A$2:$A$201,0)),0))</f>
        <v/>
      </c>
      <c r="H404" s="17" t="str">
        <f aca="false">IF($B404="","",C404*G404*(1-D404))</f>
        <v/>
      </c>
      <c r="I404" s="17" t="str">
        <f aca="false">IF($B404="","",C404*IFERROR(INDEX(Products!$E$2:$E$201,MATCH($B404,Products!$A$2:$A$201,0)),0))</f>
        <v/>
      </c>
      <c r="J404" s="17" t="str">
        <f aca="false">IF($B404="","",H404-I404)</f>
        <v/>
      </c>
      <c r="K404" s="16" t="str">
        <f aca="false">IF($A404="","",DATE(YEAR($A404),MONTH($A404),1))</f>
        <v/>
      </c>
    </row>
    <row r="405" customFormat="false" ht="15" hidden="false" customHeight="false" outlineLevel="0" collapsed="false">
      <c r="A405" s="25"/>
      <c r="B405" s="19"/>
      <c r="C405" s="19"/>
      <c r="D405" s="26"/>
      <c r="E405" s="27" t="str">
        <f aca="false">IF($B405="","",IFERROR(INDEX(Products!$B$2:$B$201,MATCH($B405,Products!$A$2:$A$201,0)),"Unknown code"))</f>
        <v/>
      </c>
      <c r="F405" s="22" t="str">
        <f aca="false">IF($B405="","",IFERROR(INDEX(Products!$C$2:$C$201,MATCH($B405,Products!$A$2:$A$201,0)),""))</f>
        <v/>
      </c>
      <c r="G405" s="17" t="str">
        <f aca="false">IF($B405="","",IFERROR(INDEX(Products!$D$2:$D$201,MATCH($B405,Products!$A$2:$A$201,0)),0))</f>
        <v/>
      </c>
      <c r="H405" s="17" t="str">
        <f aca="false">IF($B405="","",C405*G405*(1-D405))</f>
        <v/>
      </c>
      <c r="I405" s="17" t="str">
        <f aca="false">IF($B405="","",C405*IFERROR(INDEX(Products!$E$2:$E$201,MATCH($B405,Products!$A$2:$A$201,0)),0))</f>
        <v/>
      </c>
      <c r="J405" s="17" t="str">
        <f aca="false">IF($B405="","",H405-I405)</f>
        <v/>
      </c>
      <c r="K405" s="16" t="str">
        <f aca="false">IF($A405="","",DATE(YEAR($A405),MONTH($A405),1))</f>
        <v/>
      </c>
    </row>
    <row r="406" customFormat="false" ht="15" hidden="false" customHeight="false" outlineLevel="0" collapsed="false">
      <c r="A406" s="25"/>
      <c r="B406" s="19"/>
      <c r="C406" s="19"/>
      <c r="D406" s="26"/>
      <c r="E406" s="27" t="str">
        <f aca="false">IF($B406="","",IFERROR(INDEX(Products!$B$2:$B$201,MATCH($B406,Products!$A$2:$A$201,0)),"Unknown code"))</f>
        <v/>
      </c>
      <c r="F406" s="22" t="str">
        <f aca="false">IF($B406="","",IFERROR(INDEX(Products!$C$2:$C$201,MATCH($B406,Products!$A$2:$A$201,0)),""))</f>
        <v/>
      </c>
      <c r="G406" s="17" t="str">
        <f aca="false">IF($B406="","",IFERROR(INDEX(Products!$D$2:$D$201,MATCH($B406,Products!$A$2:$A$201,0)),0))</f>
        <v/>
      </c>
      <c r="H406" s="17" t="str">
        <f aca="false">IF($B406="","",C406*G406*(1-D406))</f>
        <v/>
      </c>
      <c r="I406" s="17" t="str">
        <f aca="false">IF($B406="","",C406*IFERROR(INDEX(Products!$E$2:$E$201,MATCH($B406,Products!$A$2:$A$201,0)),0))</f>
        <v/>
      </c>
      <c r="J406" s="17" t="str">
        <f aca="false">IF($B406="","",H406-I406)</f>
        <v/>
      </c>
      <c r="K406" s="16" t="str">
        <f aca="false">IF($A406="","",DATE(YEAR($A406),MONTH($A406),1))</f>
        <v/>
      </c>
    </row>
    <row r="407" customFormat="false" ht="15" hidden="false" customHeight="false" outlineLevel="0" collapsed="false">
      <c r="A407" s="25"/>
      <c r="B407" s="19"/>
      <c r="C407" s="19"/>
      <c r="D407" s="26"/>
      <c r="E407" s="27" t="str">
        <f aca="false">IF($B407="","",IFERROR(INDEX(Products!$B$2:$B$201,MATCH($B407,Products!$A$2:$A$201,0)),"Unknown code"))</f>
        <v/>
      </c>
      <c r="F407" s="22" t="str">
        <f aca="false">IF($B407="","",IFERROR(INDEX(Products!$C$2:$C$201,MATCH($B407,Products!$A$2:$A$201,0)),""))</f>
        <v/>
      </c>
      <c r="G407" s="17" t="str">
        <f aca="false">IF($B407="","",IFERROR(INDEX(Products!$D$2:$D$201,MATCH($B407,Products!$A$2:$A$201,0)),0))</f>
        <v/>
      </c>
      <c r="H407" s="17" t="str">
        <f aca="false">IF($B407="","",C407*G407*(1-D407))</f>
        <v/>
      </c>
      <c r="I407" s="17" t="str">
        <f aca="false">IF($B407="","",C407*IFERROR(INDEX(Products!$E$2:$E$201,MATCH($B407,Products!$A$2:$A$201,0)),0))</f>
        <v/>
      </c>
      <c r="J407" s="17" t="str">
        <f aca="false">IF($B407="","",H407-I407)</f>
        <v/>
      </c>
      <c r="K407" s="16" t="str">
        <f aca="false">IF($A407="","",DATE(YEAR($A407),MONTH($A407),1))</f>
        <v/>
      </c>
    </row>
    <row r="408" customFormat="false" ht="15" hidden="false" customHeight="false" outlineLevel="0" collapsed="false">
      <c r="A408" s="25"/>
      <c r="B408" s="19"/>
      <c r="C408" s="19"/>
      <c r="D408" s="26"/>
      <c r="E408" s="27" t="str">
        <f aca="false">IF($B408="","",IFERROR(INDEX(Products!$B$2:$B$201,MATCH($B408,Products!$A$2:$A$201,0)),"Unknown code"))</f>
        <v/>
      </c>
      <c r="F408" s="22" t="str">
        <f aca="false">IF($B408="","",IFERROR(INDEX(Products!$C$2:$C$201,MATCH($B408,Products!$A$2:$A$201,0)),""))</f>
        <v/>
      </c>
      <c r="G408" s="17" t="str">
        <f aca="false">IF($B408="","",IFERROR(INDEX(Products!$D$2:$D$201,MATCH($B408,Products!$A$2:$A$201,0)),0))</f>
        <v/>
      </c>
      <c r="H408" s="17" t="str">
        <f aca="false">IF($B408="","",C408*G408*(1-D408))</f>
        <v/>
      </c>
      <c r="I408" s="17" t="str">
        <f aca="false">IF($B408="","",C408*IFERROR(INDEX(Products!$E$2:$E$201,MATCH($B408,Products!$A$2:$A$201,0)),0))</f>
        <v/>
      </c>
      <c r="J408" s="17" t="str">
        <f aca="false">IF($B408="","",H408-I408)</f>
        <v/>
      </c>
      <c r="K408" s="16" t="str">
        <f aca="false">IF($A408="","",DATE(YEAR($A408),MONTH($A408),1))</f>
        <v/>
      </c>
    </row>
    <row r="409" customFormat="false" ht="15" hidden="false" customHeight="false" outlineLevel="0" collapsed="false">
      <c r="A409" s="25"/>
      <c r="B409" s="19"/>
      <c r="C409" s="19"/>
      <c r="D409" s="26"/>
      <c r="E409" s="27" t="str">
        <f aca="false">IF($B409="","",IFERROR(INDEX(Products!$B$2:$B$201,MATCH($B409,Products!$A$2:$A$201,0)),"Unknown code"))</f>
        <v/>
      </c>
      <c r="F409" s="22" t="str">
        <f aca="false">IF($B409="","",IFERROR(INDEX(Products!$C$2:$C$201,MATCH($B409,Products!$A$2:$A$201,0)),""))</f>
        <v/>
      </c>
      <c r="G409" s="17" t="str">
        <f aca="false">IF($B409="","",IFERROR(INDEX(Products!$D$2:$D$201,MATCH($B409,Products!$A$2:$A$201,0)),0))</f>
        <v/>
      </c>
      <c r="H409" s="17" t="str">
        <f aca="false">IF($B409="","",C409*G409*(1-D409))</f>
        <v/>
      </c>
      <c r="I409" s="17" t="str">
        <f aca="false">IF($B409="","",C409*IFERROR(INDEX(Products!$E$2:$E$201,MATCH($B409,Products!$A$2:$A$201,0)),0))</f>
        <v/>
      </c>
      <c r="J409" s="17" t="str">
        <f aca="false">IF($B409="","",H409-I409)</f>
        <v/>
      </c>
      <c r="K409" s="16" t="str">
        <f aca="false">IF($A409="","",DATE(YEAR($A409),MONTH($A409),1))</f>
        <v/>
      </c>
    </row>
    <row r="410" customFormat="false" ht="15" hidden="false" customHeight="false" outlineLevel="0" collapsed="false">
      <c r="A410" s="25"/>
      <c r="B410" s="19"/>
      <c r="C410" s="19"/>
      <c r="D410" s="26"/>
      <c r="E410" s="27" t="str">
        <f aca="false">IF($B410="","",IFERROR(INDEX(Products!$B$2:$B$201,MATCH($B410,Products!$A$2:$A$201,0)),"Unknown code"))</f>
        <v/>
      </c>
      <c r="F410" s="22" t="str">
        <f aca="false">IF($B410="","",IFERROR(INDEX(Products!$C$2:$C$201,MATCH($B410,Products!$A$2:$A$201,0)),""))</f>
        <v/>
      </c>
      <c r="G410" s="17" t="str">
        <f aca="false">IF($B410="","",IFERROR(INDEX(Products!$D$2:$D$201,MATCH($B410,Products!$A$2:$A$201,0)),0))</f>
        <v/>
      </c>
      <c r="H410" s="17" t="str">
        <f aca="false">IF($B410="","",C410*G410*(1-D410))</f>
        <v/>
      </c>
      <c r="I410" s="17" t="str">
        <f aca="false">IF($B410="","",C410*IFERROR(INDEX(Products!$E$2:$E$201,MATCH($B410,Products!$A$2:$A$201,0)),0))</f>
        <v/>
      </c>
      <c r="J410" s="17" t="str">
        <f aca="false">IF($B410="","",H410-I410)</f>
        <v/>
      </c>
      <c r="K410" s="16" t="str">
        <f aca="false">IF($A410="","",DATE(YEAR($A410),MONTH($A410),1))</f>
        <v/>
      </c>
    </row>
    <row r="411" customFormat="false" ht="15" hidden="false" customHeight="false" outlineLevel="0" collapsed="false">
      <c r="A411" s="25"/>
      <c r="B411" s="19"/>
      <c r="C411" s="19"/>
      <c r="D411" s="26"/>
      <c r="E411" s="27" t="str">
        <f aca="false">IF($B411="","",IFERROR(INDEX(Products!$B$2:$B$201,MATCH($B411,Products!$A$2:$A$201,0)),"Unknown code"))</f>
        <v/>
      </c>
      <c r="F411" s="22" t="str">
        <f aca="false">IF($B411="","",IFERROR(INDEX(Products!$C$2:$C$201,MATCH($B411,Products!$A$2:$A$201,0)),""))</f>
        <v/>
      </c>
      <c r="G411" s="17" t="str">
        <f aca="false">IF($B411="","",IFERROR(INDEX(Products!$D$2:$D$201,MATCH($B411,Products!$A$2:$A$201,0)),0))</f>
        <v/>
      </c>
      <c r="H411" s="17" t="str">
        <f aca="false">IF($B411="","",C411*G411*(1-D411))</f>
        <v/>
      </c>
      <c r="I411" s="17" t="str">
        <f aca="false">IF($B411="","",C411*IFERROR(INDEX(Products!$E$2:$E$201,MATCH($B411,Products!$A$2:$A$201,0)),0))</f>
        <v/>
      </c>
      <c r="J411" s="17" t="str">
        <f aca="false">IF($B411="","",H411-I411)</f>
        <v/>
      </c>
      <c r="K411" s="16" t="str">
        <f aca="false">IF($A411="","",DATE(YEAR($A411),MONTH($A411),1))</f>
        <v/>
      </c>
    </row>
    <row r="412" customFormat="false" ht="15" hidden="false" customHeight="false" outlineLevel="0" collapsed="false">
      <c r="A412" s="25"/>
      <c r="B412" s="19"/>
      <c r="C412" s="19"/>
      <c r="D412" s="26"/>
      <c r="E412" s="27" t="str">
        <f aca="false">IF($B412="","",IFERROR(INDEX(Products!$B$2:$B$201,MATCH($B412,Products!$A$2:$A$201,0)),"Unknown code"))</f>
        <v/>
      </c>
      <c r="F412" s="22" t="str">
        <f aca="false">IF($B412="","",IFERROR(INDEX(Products!$C$2:$C$201,MATCH($B412,Products!$A$2:$A$201,0)),""))</f>
        <v/>
      </c>
      <c r="G412" s="17" t="str">
        <f aca="false">IF($B412="","",IFERROR(INDEX(Products!$D$2:$D$201,MATCH($B412,Products!$A$2:$A$201,0)),0))</f>
        <v/>
      </c>
      <c r="H412" s="17" t="str">
        <f aca="false">IF($B412="","",C412*G412*(1-D412))</f>
        <v/>
      </c>
      <c r="I412" s="17" t="str">
        <f aca="false">IF($B412="","",C412*IFERROR(INDEX(Products!$E$2:$E$201,MATCH($B412,Products!$A$2:$A$201,0)),0))</f>
        <v/>
      </c>
      <c r="J412" s="17" t="str">
        <f aca="false">IF($B412="","",H412-I412)</f>
        <v/>
      </c>
      <c r="K412" s="16" t="str">
        <f aca="false">IF($A412="","",DATE(YEAR($A412),MONTH($A412),1))</f>
        <v/>
      </c>
    </row>
    <row r="413" customFormat="false" ht="15" hidden="false" customHeight="false" outlineLevel="0" collapsed="false">
      <c r="A413" s="25"/>
      <c r="B413" s="19"/>
      <c r="C413" s="19"/>
      <c r="D413" s="26"/>
      <c r="E413" s="27" t="str">
        <f aca="false">IF($B413="","",IFERROR(INDEX(Products!$B$2:$B$201,MATCH($B413,Products!$A$2:$A$201,0)),"Unknown code"))</f>
        <v/>
      </c>
      <c r="F413" s="22" t="str">
        <f aca="false">IF($B413="","",IFERROR(INDEX(Products!$C$2:$C$201,MATCH($B413,Products!$A$2:$A$201,0)),""))</f>
        <v/>
      </c>
      <c r="G413" s="17" t="str">
        <f aca="false">IF($B413="","",IFERROR(INDEX(Products!$D$2:$D$201,MATCH($B413,Products!$A$2:$A$201,0)),0))</f>
        <v/>
      </c>
      <c r="H413" s="17" t="str">
        <f aca="false">IF($B413="","",C413*G413*(1-D413))</f>
        <v/>
      </c>
      <c r="I413" s="17" t="str">
        <f aca="false">IF($B413="","",C413*IFERROR(INDEX(Products!$E$2:$E$201,MATCH($B413,Products!$A$2:$A$201,0)),0))</f>
        <v/>
      </c>
      <c r="J413" s="17" t="str">
        <f aca="false">IF($B413="","",H413-I413)</f>
        <v/>
      </c>
      <c r="K413" s="16" t="str">
        <f aca="false">IF($A413="","",DATE(YEAR($A413),MONTH($A413),1))</f>
        <v/>
      </c>
    </row>
    <row r="414" customFormat="false" ht="15" hidden="false" customHeight="false" outlineLevel="0" collapsed="false">
      <c r="A414" s="25"/>
      <c r="B414" s="19"/>
      <c r="C414" s="19"/>
      <c r="D414" s="26"/>
      <c r="E414" s="27" t="str">
        <f aca="false">IF($B414="","",IFERROR(INDEX(Products!$B$2:$B$201,MATCH($B414,Products!$A$2:$A$201,0)),"Unknown code"))</f>
        <v/>
      </c>
      <c r="F414" s="22" t="str">
        <f aca="false">IF($B414="","",IFERROR(INDEX(Products!$C$2:$C$201,MATCH($B414,Products!$A$2:$A$201,0)),""))</f>
        <v/>
      </c>
      <c r="G414" s="17" t="str">
        <f aca="false">IF($B414="","",IFERROR(INDEX(Products!$D$2:$D$201,MATCH($B414,Products!$A$2:$A$201,0)),0))</f>
        <v/>
      </c>
      <c r="H414" s="17" t="str">
        <f aca="false">IF($B414="","",C414*G414*(1-D414))</f>
        <v/>
      </c>
      <c r="I414" s="17" t="str">
        <f aca="false">IF($B414="","",C414*IFERROR(INDEX(Products!$E$2:$E$201,MATCH($B414,Products!$A$2:$A$201,0)),0))</f>
        <v/>
      </c>
      <c r="J414" s="17" t="str">
        <f aca="false">IF($B414="","",H414-I414)</f>
        <v/>
      </c>
      <c r="K414" s="16" t="str">
        <f aca="false">IF($A414="","",DATE(YEAR($A414),MONTH($A414),1))</f>
        <v/>
      </c>
    </row>
    <row r="415" customFormat="false" ht="15" hidden="false" customHeight="false" outlineLevel="0" collapsed="false">
      <c r="A415" s="25"/>
      <c r="B415" s="19"/>
      <c r="C415" s="19"/>
      <c r="D415" s="26"/>
      <c r="E415" s="27" t="str">
        <f aca="false">IF($B415="","",IFERROR(INDEX(Products!$B$2:$B$201,MATCH($B415,Products!$A$2:$A$201,0)),"Unknown code"))</f>
        <v/>
      </c>
      <c r="F415" s="22" t="str">
        <f aca="false">IF($B415="","",IFERROR(INDEX(Products!$C$2:$C$201,MATCH($B415,Products!$A$2:$A$201,0)),""))</f>
        <v/>
      </c>
      <c r="G415" s="17" t="str">
        <f aca="false">IF($B415="","",IFERROR(INDEX(Products!$D$2:$D$201,MATCH($B415,Products!$A$2:$A$201,0)),0))</f>
        <v/>
      </c>
      <c r="H415" s="17" t="str">
        <f aca="false">IF($B415="","",C415*G415*(1-D415))</f>
        <v/>
      </c>
      <c r="I415" s="17" t="str">
        <f aca="false">IF($B415="","",C415*IFERROR(INDEX(Products!$E$2:$E$201,MATCH($B415,Products!$A$2:$A$201,0)),0))</f>
        <v/>
      </c>
      <c r="J415" s="17" t="str">
        <f aca="false">IF($B415="","",H415-I415)</f>
        <v/>
      </c>
      <c r="K415" s="16" t="str">
        <f aca="false">IF($A415="","",DATE(YEAR($A415),MONTH($A415),1))</f>
        <v/>
      </c>
    </row>
    <row r="416" customFormat="false" ht="15" hidden="false" customHeight="false" outlineLevel="0" collapsed="false">
      <c r="A416" s="25"/>
      <c r="B416" s="19"/>
      <c r="C416" s="19"/>
      <c r="D416" s="26"/>
      <c r="E416" s="27" t="str">
        <f aca="false">IF($B416="","",IFERROR(INDEX(Products!$B$2:$B$201,MATCH($B416,Products!$A$2:$A$201,0)),"Unknown code"))</f>
        <v/>
      </c>
      <c r="F416" s="22" t="str">
        <f aca="false">IF($B416="","",IFERROR(INDEX(Products!$C$2:$C$201,MATCH($B416,Products!$A$2:$A$201,0)),""))</f>
        <v/>
      </c>
      <c r="G416" s="17" t="str">
        <f aca="false">IF($B416="","",IFERROR(INDEX(Products!$D$2:$D$201,MATCH($B416,Products!$A$2:$A$201,0)),0))</f>
        <v/>
      </c>
      <c r="H416" s="17" t="str">
        <f aca="false">IF($B416="","",C416*G416*(1-D416))</f>
        <v/>
      </c>
      <c r="I416" s="17" t="str">
        <f aca="false">IF($B416="","",C416*IFERROR(INDEX(Products!$E$2:$E$201,MATCH($B416,Products!$A$2:$A$201,0)),0))</f>
        <v/>
      </c>
      <c r="J416" s="17" t="str">
        <f aca="false">IF($B416="","",H416-I416)</f>
        <v/>
      </c>
      <c r="K416" s="16" t="str">
        <f aca="false">IF($A416="","",DATE(YEAR($A416),MONTH($A416),1))</f>
        <v/>
      </c>
    </row>
    <row r="417" customFormat="false" ht="15" hidden="false" customHeight="false" outlineLevel="0" collapsed="false">
      <c r="A417" s="25"/>
      <c r="B417" s="19"/>
      <c r="C417" s="19"/>
      <c r="D417" s="26"/>
      <c r="E417" s="27" t="str">
        <f aca="false">IF($B417="","",IFERROR(INDEX(Products!$B$2:$B$201,MATCH($B417,Products!$A$2:$A$201,0)),"Unknown code"))</f>
        <v/>
      </c>
      <c r="F417" s="22" t="str">
        <f aca="false">IF($B417="","",IFERROR(INDEX(Products!$C$2:$C$201,MATCH($B417,Products!$A$2:$A$201,0)),""))</f>
        <v/>
      </c>
      <c r="G417" s="17" t="str">
        <f aca="false">IF($B417="","",IFERROR(INDEX(Products!$D$2:$D$201,MATCH($B417,Products!$A$2:$A$201,0)),0))</f>
        <v/>
      </c>
      <c r="H417" s="17" t="str">
        <f aca="false">IF($B417="","",C417*G417*(1-D417))</f>
        <v/>
      </c>
      <c r="I417" s="17" t="str">
        <f aca="false">IF($B417="","",C417*IFERROR(INDEX(Products!$E$2:$E$201,MATCH($B417,Products!$A$2:$A$201,0)),0))</f>
        <v/>
      </c>
      <c r="J417" s="17" t="str">
        <f aca="false">IF($B417="","",H417-I417)</f>
        <v/>
      </c>
      <c r="K417" s="16" t="str">
        <f aca="false">IF($A417="","",DATE(YEAR($A417),MONTH($A417),1))</f>
        <v/>
      </c>
    </row>
    <row r="418" customFormat="false" ht="15" hidden="false" customHeight="false" outlineLevel="0" collapsed="false">
      <c r="A418" s="25"/>
      <c r="B418" s="19"/>
      <c r="C418" s="19"/>
      <c r="D418" s="26"/>
      <c r="E418" s="27" t="str">
        <f aca="false">IF($B418="","",IFERROR(INDEX(Products!$B$2:$B$201,MATCH($B418,Products!$A$2:$A$201,0)),"Unknown code"))</f>
        <v/>
      </c>
      <c r="F418" s="22" t="str">
        <f aca="false">IF($B418="","",IFERROR(INDEX(Products!$C$2:$C$201,MATCH($B418,Products!$A$2:$A$201,0)),""))</f>
        <v/>
      </c>
      <c r="G418" s="17" t="str">
        <f aca="false">IF($B418="","",IFERROR(INDEX(Products!$D$2:$D$201,MATCH($B418,Products!$A$2:$A$201,0)),0))</f>
        <v/>
      </c>
      <c r="H418" s="17" t="str">
        <f aca="false">IF($B418="","",C418*G418*(1-D418))</f>
        <v/>
      </c>
      <c r="I418" s="17" t="str">
        <f aca="false">IF($B418="","",C418*IFERROR(INDEX(Products!$E$2:$E$201,MATCH($B418,Products!$A$2:$A$201,0)),0))</f>
        <v/>
      </c>
      <c r="J418" s="17" t="str">
        <f aca="false">IF($B418="","",H418-I418)</f>
        <v/>
      </c>
      <c r="K418" s="16" t="str">
        <f aca="false">IF($A418="","",DATE(YEAR($A418),MONTH($A418),1))</f>
        <v/>
      </c>
    </row>
    <row r="419" customFormat="false" ht="15" hidden="false" customHeight="false" outlineLevel="0" collapsed="false">
      <c r="A419" s="25"/>
      <c r="B419" s="19"/>
      <c r="C419" s="19"/>
      <c r="D419" s="26"/>
      <c r="E419" s="27" t="str">
        <f aca="false">IF($B419="","",IFERROR(INDEX(Products!$B$2:$B$201,MATCH($B419,Products!$A$2:$A$201,0)),"Unknown code"))</f>
        <v/>
      </c>
      <c r="F419" s="22" t="str">
        <f aca="false">IF($B419="","",IFERROR(INDEX(Products!$C$2:$C$201,MATCH($B419,Products!$A$2:$A$201,0)),""))</f>
        <v/>
      </c>
      <c r="G419" s="17" t="str">
        <f aca="false">IF($B419="","",IFERROR(INDEX(Products!$D$2:$D$201,MATCH($B419,Products!$A$2:$A$201,0)),0))</f>
        <v/>
      </c>
      <c r="H419" s="17" t="str">
        <f aca="false">IF($B419="","",C419*G419*(1-D419))</f>
        <v/>
      </c>
      <c r="I419" s="17" t="str">
        <f aca="false">IF($B419="","",C419*IFERROR(INDEX(Products!$E$2:$E$201,MATCH($B419,Products!$A$2:$A$201,0)),0))</f>
        <v/>
      </c>
      <c r="J419" s="17" t="str">
        <f aca="false">IF($B419="","",H419-I419)</f>
        <v/>
      </c>
      <c r="K419" s="16" t="str">
        <f aca="false">IF($A419="","",DATE(YEAR($A419),MONTH($A419),1))</f>
        <v/>
      </c>
    </row>
    <row r="420" customFormat="false" ht="15" hidden="false" customHeight="false" outlineLevel="0" collapsed="false">
      <c r="A420" s="25"/>
      <c r="B420" s="19"/>
      <c r="C420" s="19"/>
      <c r="D420" s="26"/>
      <c r="E420" s="27" t="str">
        <f aca="false">IF($B420="","",IFERROR(INDEX(Products!$B$2:$B$201,MATCH($B420,Products!$A$2:$A$201,0)),"Unknown code"))</f>
        <v/>
      </c>
      <c r="F420" s="22" t="str">
        <f aca="false">IF($B420="","",IFERROR(INDEX(Products!$C$2:$C$201,MATCH($B420,Products!$A$2:$A$201,0)),""))</f>
        <v/>
      </c>
      <c r="G420" s="17" t="str">
        <f aca="false">IF($B420="","",IFERROR(INDEX(Products!$D$2:$D$201,MATCH($B420,Products!$A$2:$A$201,0)),0))</f>
        <v/>
      </c>
      <c r="H420" s="17" t="str">
        <f aca="false">IF($B420="","",C420*G420*(1-D420))</f>
        <v/>
      </c>
      <c r="I420" s="17" t="str">
        <f aca="false">IF($B420="","",C420*IFERROR(INDEX(Products!$E$2:$E$201,MATCH($B420,Products!$A$2:$A$201,0)),0))</f>
        <v/>
      </c>
      <c r="J420" s="17" t="str">
        <f aca="false">IF($B420="","",H420-I420)</f>
        <v/>
      </c>
      <c r="K420" s="16" t="str">
        <f aca="false">IF($A420="","",DATE(YEAR($A420),MONTH($A420),1))</f>
        <v/>
      </c>
    </row>
    <row r="421" customFormat="false" ht="15" hidden="false" customHeight="false" outlineLevel="0" collapsed="false">
      <c r="A421" s="25"/>
      <c r="B421" s="19"/>
      <c r="C421" s="19"/>
      <c r="D421" s="26"/>
      <c r="E421" s="27" t="str">
        <f aca="false">IF($B421="","",IFERROR(INDEX(Products!$B$2:$B$201,MATCH($B421,Products!$A$2:$A$201,0)),"Unknown code"))</f>
        <v/>
      </c>
      <c r="F421" s="22" t="str">
        <f aca="false">IF($B421="","",IFERROR(INDEX(Products!$C$2:$C$201,MATCH($B421,Products!$A$2:$A$201,0)),""))</f>
        <v/>
      </c>
      <c r="G421" s="17" t="str">
        <f aca="false">IF($B421="","",IFERROR(INDEX(Products!$D$2:$D$201,MATCH($B421,Products!$A$2:$A$201,0)),0))</f>
        <v/>
      </c>
      <c r="H421" s="17" t="str">
        <f aca="false">IF($B421="","",C421*G421*(1-D421))</f>
        <v/>
      </c>
      <c r="I421" s="17" t="str">
        <f aca="false">IF($B421="","",C421*IFERROR(INDEX(Products!$E$2:$E$201,MATCH($B421,Products!$A$2:$A$201,0)),0))</f>
        <v/>
      </c>
      <c r="J421" s="17" t="str">
        <f aca="false">IF($B421="","",H421-I421)</f>
        <v/>
      </c>
      <c r="K421" s="16" t="str">
        <f aca="false">IF($A421="","",DATE(YEAR($A421),MONTH($A421),1))</f>
        <v/>
      </c>
    </row>
    <row r="422" customFormat="false" ht="15" hidden="false" customHeight="false" outlineLevel="0" collapsed="false">
      <c r="A422" s="25"/>
      <c r="B422" s="19"/>
      <c r="C422" s="19"/>
      <c r="D422" s="26"/>
      <c r="E422" s="27" t="str">
        <f aca="false">IF($B422="","",IFERROR(INDEX(Products!$B$2:$B$201,MATCH($B422,Products!$A$2:$A$201,0)),"Unknown code"))</f>
        <v/>
      </c>
      <c r="F422" s="22" t="str">
        <f aca="false">IF($B422="","",IFERROR(INDEX(Products!$C$2:$C$201,MATCH($B422,Products!$A$2:$A$201,0)),""))</f>
        <v/>
      </c>
      <c r="G422" s="17" t="str">
        <f aca="false">IF($B422="","",IFERROR(INDEX(Products!$D$2:$D$201,MATCH($B422,Products!$A$2:$A$201,0)),0))</f>
        <v/>
      </c>
      <c r="H422" s="17" t="str">
        <f aca="false">IF($B422="","",C422*G422*(1-D422))</f>
        <v/>
      </c>
      <c r="I422" s="17" t="str">
        <f aca="false">IF($B422="","",C422*IFERROR(INDEX(Products!$E$2:$E$201,MATCH($B422,Products!$A$2:$A$201,0)),0))</f>
        <v/>
      </c>
      <c r="J422" s="17" t="str">
        <f aca="false">IF($B422="","",H422-I422)</f>
        <v/>
      </c>
      <c r="K422" s="16" t="str">
        <f aca="false">IF($A422="","",DATE(YEAR($A422),MONTH($A422),1))</f>
        <v/>
      </c>
    </row>
    <row r="423" customFormat="false" ht="15" hidden="false" customHeight="false" outlineLevel="0" collapsed="false">
      <c r="A423" s="25"/>
      <c r="B423" s="19"/>
      <c r="C423" s="19"/>
      <c r="D423" s="26"/>
      <c r="E423" s="27" t="str">
        <f aca="false">IF($B423="","",IFERROR(INDEX(Products!$B$2:$B$201,MATCH($B423,Products!$A$2:$A$201,0)),"Unknown code"))</f>
        <v/>
      </c>
      <c r="F423" s="22" t="str">
        <f aca="false">IF($B423="","",IFERROR(INDEX(Products!$C$2:$C$201,MATCH($B423,Products!$A$2:$A$201,0)),""))</f>
        <v/>
      </c>
      <c r="G423" s="17" t="str">
        <f aca="false">IF($B423="","",IFERROR(INDEX(Products!$D$2:$D$201,MATCH($B423,Products!$A$2:$A$201,0)),0))</f>
        <v/>
      </c>
      <c r="H423" s="17" t="str">
        <f aca="false">IF($B423="","",C423*G423*(1-D423))</f>
        <v/>
      </c>
      <c r="I423" s="17" t="str">
        <f aca="false">IF($B423="","",C423*IFERROR(INDEX(Products!$E$2:$E$201,MATCH($B423,Products!$A$2:$A$201,0)),0))</f>
        <v/>
      </c>
      <c r="J423" s="17" t="str">
        <f aca="false">IF($B423="","",H423-I423)</f>
        <v/>
      </c>
      <c r="K423" s="16" t="str">
        <f aca="false">IF($A423="","",DATE(YEAR($A423),MONTH($A423),1))</f>
        <v/>
      </c>
    </row>
    <row r="424" customFormat="false" ht="15" hidden="false" customHeight="false" outlineLevel="0" collapsed="false">
      <c r="A424" s="25"/>
      <c r="B424" s="19"/>
      <c r="C424" s="19"/>
      <c r="D424" s="26"/>
      <c r="E424" s="27" t="str">
        <f aca="false">IF($B424="","",IFERROR(INDEX(Products!$B$2:$B$201,MATCH($B424,Products!$A$2:$A$201,0)),"Unknown code"))</f>
        <v/>
      </c>
      <c r="F424" s="22" t="str">
        <f aca="false">IF($B424="","",IFERROR(INDEX(Products!$C$2:$C$201,MATCH($B424,Products!$A$2:$A$201,0)),""))</f>
        <v/>
      </c>
      <c r="G424" s="17" t="str">
        <f aca="false">IF($B424="","",IFERROR(INDEX(Products!$D$2:$D$201,MATCH($B424,Products!$A$2:$A$201,0)),0))</f>
        <v/>
      </c>
      <c r="H424" s="17" t="str">
        <f aca="false">IF($B424="","",C424*G424*(1-D424))</f>
        <v/>
      </c>
      <c r="I424" s="17" t="str">
        <f aca="false">IF($B424="","",C424*IFERROR(INDEX(Products!$E$2:$E$201,MATCH($B424,Products!$A$2:$A$201,0)),0))</f>
        <v/>
      </c>
      <c r="J424" s="17" t="str">
        <f aca="false">IF($B424="","",H424-I424)</f>
        <v/>
      </c>
      <c r="K424" s="16" t="str">
        <f aca="false">IF($A424="","",DATE(YEAR($A424),MONTH($A424),1))</f>
        <v/>
      </c>
    </row>
    <row r="425" customFormat="false" ht="15" hidden="false" customHeight="false" outlineLevel="0" collapsed="false">
      <c r="A425" s="25"/>
      <c r="B425" s="19"/>
      <c r="C425" s="19"/>
      <c r="D425" s="26"/>
      <c r="E425" s="27" t="str">
        <f aca="false">IF($B425="","",IFERROR(INDEX(Products!$B$2:$B$201,MATCH($B425,Products!$A$2:$A$201,0)),"Unknown code"))</f>
        <v/>
      </c>
      <c r="F425" s="22" t="str">
        <f aca="false">IF($B425="","",IFERROR(INDEX(Products!$C$2:$C$201,MATCH($B425,Products!$A$2:$A$201,0)),""))</f>
        <v/>
      </c>
      <c r="G425" s="17" t="str">
        <f aca="false">IF($B425="","",IFERROR(INDEX(Products!$D$2:$D$201,MATCH($B425,Products!$A$2:$A$201,0)),0))</f>
        <v/>
      </c>
      <c r="H425" s="17" t="str">
        <f aca="false">IF($B425="","",C425*G425*(1-D425))</f>
        <v/>
      </c>
      <c r="I425" s="17" t="str">
        <f aca="false">IF($B425="","",C425*IFERROR(INDEX(Products!$E$2:$E$201,MATCH($B425,Products!$A$2:$A$201,0)),0))</f>
        <v/>
      </c>
      <c r="J425" s="17" t="str">
        <f aca="false">IF($B425="","",H425-I425)</f>
        <v/>
      </c>
      <c r="K425" s="16" t="str">
        <f aca="false">IF($A425="","",DATE(YEAR($A425),MONTH($A425),1))</f>
        <v/>
      </c>
    </row>
    <row r="426" customFormat="false" ht="15" hidden="false" customHeight="false" outlineLevel="0" collapsed="false">
      <c r="A426" s="25"/>
      <c r="B426" s="19"/>
      <c r="C426" s="19"/>
      <c r="D426" s="26"/>
      <c r="E426" s="27" t="str">
        <f aca="false">IF($B426="","",IFERROR(INDEX(Products!$B$2:$B$201,MATCH($B426,Products!$A$2:$A$201,0)),"Unknown code"))</f>
        <v/>
      </c>
      <c r="F426" s="22" t="str">
        <f aca="false">IF($B426="","",IFERROR(INDEX(Products!$C$2:$C$201,MATCH($B426,Products!$A$2:$A$201,0)),""))</f>
        <v/>
      </c>
      <c r="G426" s="17" t="str">
        <f aca="false">IF($B426="","",IFERROR(INDEX(Products!$D$2:$D$201,MATCH($B426,Products!$A$2:$A$201,0)),0))</f>
        <v/>
      </c>
      <c r="H426" s="17" t="str">
        <f aca="false">IF($B426="","",C426*G426*(1-D426))</f>
        <v/>
      </c>
      <c r="I426" s="17" t="str">
        <f aca="false">IF($B426="","",C426*IFERROR(INDEX(Products!$E$2:$E$201,MATCH($B426,Products!$A$2:$A$201,0)),0))</f>
        <v/>
      </c>
      <c r="J426" s="17" t="str">
        <f aca="false">IF($B426="","",H426-I426)</f>
        <v/>
      </c>
      <c r="K426" s="16" t="str">
        <f aca="false">IF($A426="","",DATE(YEAR($A426),MONTH($A426),1))</f>
        <v/>
      </c>
    </row>
    <row r="427" customFormat="false" ht="15" hidden="false" customHeight="false" outlineLevel="0" collapsed="false">
      <c r="A427" s="25"/>
      <c r="B427" s="19"/>
      <c r="C427" s="19"/>
      <c r="D427" s="26"/>
      <c r="E427" s="27" t="str">
        <f aca="false">IF($B427="","",IFERROR(INDEX(Products!$B$2:$B$201,MATCH($B427,Products!$A$2:$A$201,0)),"Unknown code"))</f>
        <v/>
      </c>
      <c r="F427" s="22" t="str">
        <f aca="false">IF($B427="","",IFERROR(INDEX(Products!$C$2:$C$201,MATCH($B427,Products!$A$2:$A$201,0)),""))</f>
        <v/>
      </c>
      <c r="G427" s="17" t="str">
        <f aca="false">IF($B427="","",IFERROR(INDEX(Products!$D$2:$D$201,MATCH($B427,Products!$A$2:$A$201,0)),0))</f>
        <v/>
      </c>
      <c r="H427" s="17" t="str">
        <f aca="false">IF($B427="","",C427*G427*(1-D427))</f>
        <v/>
      </c>
      <c r="I427" s="17" t="str">
        <f aca="false">IF($B427="","",C427*IFERROR(INDEX(Products!$E$2:$E$201,MATCH($B427,Products!$A$2:$A$201,0)),0))</f>
        <v/>
      </c>
      <c r="J427" s="17" t="str">
        <f aca="false">IF($B427="","",H427-I427)</f>
        <v/>
      </c>
      <c r="K427" s="16" t="str">
        <f aca="false">IF($A427="","",DATE(YEAR($A427),MONTH($A427),1))</f>
        <v/>
      </c>
    </row>
    <row r="428" customFormat="false" ht="15" hidden="false" customHeight="false" outlineLevel="0" collapsed="false">
      <c r="A428" s="25"/>
      <c r="B428" s="19"/>
      <c r="C428" s="19"/>
      <c r="D428" s="26"/>
      <c r="E428" s="27" t="str">
        <f aca="false">IF($B428="","",IFERROR(INDEX(Products!$B$2:$B$201,MATCH($B428,Products!$A$2:$A$201,0)),"Unknown code"))</f>
        <v/>
      </c>
      <c r="F428" s="22" t="str">
        <f aca="false">IF($B428="","",IFERROR(INDEX(Products!$C$2:$C$201,MATCH($B428,Products!$A$2:$A$201,0)),""))</f>
        <v/>
      </c>
      <c r="G428" s="17" t="str">
        <f aca="false">IF($B428="","",IFERROR(INDEX(Products!$D$2:$D$201,MATCH($B428,Products!$A$2:$A$201,0)),0))</f>
        <v/>
      </c>
      <c r="H428" s="17" t="str">
        <f aca="false">IF($B428="","",C428*G428*(1-D428))</f>
        <v/>
      </c>
      <c r="I428" s="17" t="str">
        <f aca="false">IF($B428="","",C428*IFERROR(INDEX(Products!$E$2:$E$201,MATCH($B428,Products!$A$2:$A$201,0)),0))</f>
        <v/>
      </c>
      <c r="J428" s="17" t="str">
        <f aca="false">IF($B428="","",H428-I428)</f>
        <v/>
      </c>
      <c r="K428" s="16" t="str">
        <f aca="false">IF($A428="","",DATE(YEAR($A428),MONTH($A428),1))</f>
        <v/>
      </c>
    </row>
    <row r="429" customFormat="false" ht="15" hidden="false" customHeight="false" outlineLevel="0" collapsed="false">
      <c r="A429" s="25"/>
      <c r="B429" s="19"/>
      <c r="C429" s="19"/>
      <c r="D429" s="26"/>
      <c r="E429" s="27" t="str">
        <f aca="false">IF($B429="","",IFERROR(INDEX(Products!$B$2:$B$201,MATCH($B429,Products!$A$2:$A$201,0)),"Unknown code"))</f>
        <v/>
      </c>
      <c r="F429" s="22" t="str">
        <f aca="false">IF($B429="","",IFERROR(INDEX(Products!$C$2:$C$201,MATCH($B429,Products!$A$2:$A$201,0)),""))</f>
        <v/>
      </c>
      <c r="G429" s="17" t="str">
        <f aca="false">IF($B429="","",IFERROR(INDEX(Products!$D$2:$D$201,MATCH($B429,Products!$A$2:$A$201,0)),0))</f>
        <v/>
      </c>
      <c r="H429" s="17" t="str">
        <f aca="false">IF($B429="","",C429*G429*(1-D429))</f>
        <v/>
      </c>
      <c r="I429" s="17" t="str">
        <f aca="false">IF($B429="","",C429*IFERROR(INDEX(Products!$E$2:$E$201,MATCH($B429,Products!$A$2:$A$201,0)),0))</f>
        <v/>
      </c>
      <c r="J429" s="17" t="str">
        <f aca="false">IF($B429="","",H429-I429)</f>
        <v/>
      </c>
      <c r="K429" s="16" t="str">
        <f aca="false">IF($A429="","",DATE(YEAR($A429),MONTH($A429),1))</f>
        <v/>
      </c>
    </row>
    <row r="430" customFormat="false" ht="15" hidden="false" customHeight="false" outlineLevel="0" collapsed="false">
      <c r="A430" s="25"/>
      <c r="B430" s="19"/>
      <c r="C430" s="19"/>
      <c r="D430" s="26"/>
      <c r="E430" s="27" t="str">
        <f aca="false">IF($B430="","",IFERROR(INDEX(Products!$B$2:$B$201,MATCH($B430,Products!$A$2:$A$201,0)),"Unknown code"))</f>
        <v/>
      </c>
      <c r="F430" s="22" t="str">
        <f aca="false">IF($B430="","",IFERROR(INDEX(Products!$C$2:$C$201,MATCH($B430,Products!$A$2:$A$201,0)),""))</f>
        <v/>
      </c>
      <c r="G430" s="17" t="str">
        <f aca="false">IF($B430="","",IFERROR(INDEX(Products!$D$2:$D$201,MATCH($B430,Products!$A$2:$A$201,0)),0))</f>
        <v/>
      </c>
      <c r="H430" s="17" t="str">
        <f aca="false">IF($B430="","",C430*G430*(1-D430))</f>
        <v/>
      </c>
      <c r="I430" s="17" t="str">
        <f aca="false">IF($B430="","",C430*IFERROR(INDEX(Products!$E$2:$E$201,MATCH($B430,Products!$A$2:$A$201,0)),0))</f>
        <v/>
      </c>
      <c r="J430" s="17" t="str">
        <f aca="false">IF($B430="","",H430-I430)</f>
        <v/>
      </c>
      <c r="K430" s="16" t="str">
        <f aca="false">IF($A430="","",DATE(YEAR($A430),MONTH($A430),1))</f>
        <v/>
      </c>
    </row>
    <row r="431" customFormat="false" ht="15" hidden="false" customHeight="false" outlineLevel="0" collapsed="false">
      <c r="A431" s="25"/>
      <c r="B431" s="19"/>
      <c r="C431" s="19"/>
      <c r="D431" s="26"/>
      <c r="E431" s="27" t="str">
        <f aca="false">IF($B431="","",IFERROR(INDEX(Products!$B$2:$B$201,MATCH($B431,Products!$A$2:$A$201,0)),"Unknown code"))</f>
        <v/>
      </c>
      <c r="F431" s="22" t="str">
        <f aca="false">IF($B431="","",IFERROR(INDEX(Products!$C$2:$C$201,MATCH($B431,Products!$A$2:$A$201,0)),""))</f>
        <v/>
      </c>
      <c r="G431" s="17" t="str">
        <f aca="false">IF($B431="","",IFERROR(INDEX(Products!$D$2:$D$201,MATCH($B431,Products!$A$2:$A$201,0)),0))</f>
        <v/>
      </c>
      <c r="H431" s="17" t="str">
        <f aca="false">IF($B431="","",C431*G431*(1-D431))</f>
        <v/>
      </c>
      <c r="I431" s="17" t="str">
        <f aca="false">IF($B431="","",C431*IFERROR(INDEX(Products!$E$2:$E$201,MATCH($B431,Products!$A$2:$A$201,0)),0))</f>
        <v/>
      </c>
      <c r="J431" s="17" t="str">
        <f aca="false">IF($B431="","",H431-I431)</f>
        <v/>
      </c>
      <c r="K431" s="16" t="str">
        <f aca="false">IF($A431="","",DATE(YEAR($A431),MONTH($A431),1))</f>
        <v/>
      </c>
    </row>
    <row r="432" customFormat="false" ht="15" hidden="false" customHeight="false" outlineLevel="0" collapsed="false">
      <c r="A432" s="25"/>
      <c r="B432" s="19"/>
      <c r="C432" s="19"/>
      <c r="D432" s="26"/>
      <c r="E432" s="27" t="str">
        <f aca="false">IF($B432="","",IFERROR(INDEX(Products!$B$2:$B$201,MATCH($B432,Products!$A$2:$A$201,0)),"Unknown code"))</f>
        <v/>
      </c>
      <c r="F432" s="22" t="str">
        <f aca="false">IF($B432="","",IFERROR(INDEX(Products!$C$2:$C$201,MATCH($B432,Products!$A$2:$A$201,0)),""))</f>
        <v/>
      </c>
      <c r="G432" s="17" t="str">
        <f aca="false">IF($B432="","",IFERROR(INDEX(Products!$D$2:$D$201,MATCH($B432,Products!$A$2:$A$201,0)),0))</f>
        <v/>
      </c>
      <c r="H432" s="17" t="str">
        <f aca="false">IF($B432="","",C432*G432*(1-D432))</f>
        <v/>
      </c>
      <c r="I432" s="17" t="str">
        <f aca="false">IF($B432="","",C432*IFERROR(INDEX(Products!$E$2:$E$201,MATCH($B432,Products!$A$2:$A$201,0)),0))</f>
        <v/>
      </c>
      <c r="J432" s="17" t="str">
        <f aca="false">IF($B432="","",H432-I432)</f>
        <v/>
      </c>
      <c r="K432" s="16" t="str">
        <f aca="false">IF($A432="","",DATE(YEAR($A432),MONTH($A432),1))</f>
        <v/>
      </c>
    </row>
    <row r="433" customFormat="false" ht="15" hidden="false" customHeight="false" outlineLevel="0" collapsed="false">
      <c r="A433" s="25"/>
      <c r="B433" s="19"/>
      <c r="C433" s="19"/>
      <c r="D433" s="26"/>
      <c r="E433" s="27" t="str">
        <f aca="false">IF($B433="","",IFERROR(INDEX(Products!$B$2:$B$201,MATCH($B433,Products!$A$2:$A$201,0)),"Unknown code"))</f>
        <v/>
      </c>
      <c r="F433" s="22" t="str">
        <f aca="false">IF($B433="","",IFERROR(INDEX(Products!$C$2:$C$201,MATCH($B433,Products!$A$2:$A$201,0)),""))</f>
        <v/>
      </c>
      <c r="G433" s="17" t="str">
        <f aca="false">IF($B433="","",IFERROR(INDEX(Products!$D$2:$D$201,MATCH($B433,Products!$A$2:$A$201,0)),0))</f>
        <v/>
      </c>
      <c r="H433" s="17" t="str">
        <f aca="false">IF($B433="","",C433*G433*(1-D433))</f>
        <v/>
      </c>
      <c r="I433" s="17" t="str">
        <f aca="false">IF($B433="","",C433*IFERROR(INDEX(Products!$E$2:$E$201,MATCH($B433,Products!$A$2:$A$201,0)),0))</f>
        <v/>
      </c>
      <c r="J433" s="17" t="str">
        <f aca="false">IF($B433="","",H433-I433)</f>
        <v/>
      </c>
      <c r="K433" s="16" t="str">
        <f aca="false">IF($A433="","",DATE(YEAR($A433),MONTH($A433),1))</f>
        <v/>
      </c>
    </row>
    <row r="434" customFormat="false" ht="15" hidden="false" customHeight="false" outlineLevel="0" collapsed="false">
      <c r="A434" s="25"/>
      <c r="B434" s="19"/>
      <c r="C434" s="19"/>
      <c r="D434" s="26"/>
      <c r="E434" s="27" t="str">
        <f aca="false">IF($B434="","",IFERROR(INDEX(Products!$B$2:$B$201,MATCH($B434,Products!$A$2:$A$201,0)),"Unknown code"))</f>
        <v/>
      </c>
      <c r="F434" s="22" t="str">
        <f aca="false">IF($B434="","",IFERROR(INDEX(Products!$C$2:$C$201,MATCH($B434,Products!$A$2:$A$201,0)),""))</f>
        <v/>
      </c>
      <c r="G434" s="17" t="str">
        <f aca="false">IF($B434="","",IFERROR(INDEX(Products!$D$2:$D$201,MATCH($B434,Products!$A$2:$A$201,0)),0))</f>
        <v/>
      </c>
      <c r="H434" s="17" t="str">
        <f aca="false">IF($B434="","",C434*G434*(1-D434))</f>
        <v/>
      </c>
      <c r="I434" s="17" t="str">
        <f aca="false">IF($B434="","",C434*IFERROR(INDEX(Products!$E$2:$E$201,MATCH($B434,Products!$A$2:$A$201,0)),0))</f>
        <v/>
      </c>
      <c r="J434" s="17" t="str">
        <f aca="false">IF($B434="","",H434-I434)</f>
        <v/>
      </c>
      <c r="K434" s="16" t="str">
        <f aca="false">IF($A434="","",DATE(YEAR($A434),MONTH($A434),1))</f>
        <v/>
      </c>
    </row>
    <row r="435" customFormat="false" ht="15" hidden="false" customHeight="false" outlineLevel="0" collapsed="false">
      <c r="A435" s="25"/>
      <c r="B435" s="19"/>
      <c r="C435" s="19"/>
      <c r="D435" s="26"/>
      <c r="E435" s="27" t="str">
        <f aca="false">IF($B435="","",IFERROR(INDEX(Products!$B$2:$B$201,MATCH($B435,Products!$A$2:$A$201,0)),"Unknown code"))</f>
        <v/>
      </c>
      <c r="F435" s="22" t="str">
        <f aca="false">IF($B435="","",IFERROR(INDEX(Products!$C$2:$C$201,MATCH($B435,Products!$A$2:$A$201,0)),""))</f>
        <v/>
      </c>
      <c r="G435" s="17" t="str">
        <f aca="false">IF($B435="","",IFERROR(INDEX(Products!$D$2:$D$201,MATCH($B435,Products!$A$2:$A$201,0)),0))</f>
        <v/>
      </c>
      <c r="H435" s="17" t="str">
        <f aca="false">IF($B435="","",C435*G435*(1-D435))</f>
        <v/>
      </c>
      <c r="I435" s="17" t="str">
        <f aca="false">IF($B435="","",C435*IFERROR(INDEX(Products!$E$2:$E$201,MATCH($B435,Products!$A$2:$A$201,0)),0))</f>
        <v/>
      </c>
      <c r="J435" s="17" t="str">
        <f aca="false">IF($B435="","",H435-I435)</f>
        <v/>
      </c>
      <c r="K435" s="16" t="str">
        <f aca="false">IF($A435="","",DATE(YEAR($A435),MONTH($A435),1))</f>
        <v/>
      </c>
    </row>
    <row r="436" customFormat="false" ht="15" hidden="false" customHeight="false" outlineLevel="0" collapsed="false">
      <c r="A436" s="25"/>
      <c r="B436" s="19"/>
      <c r="C436" s="19"/>
      <c r="D436" s="26"/>
      <c r="E436" s="27" t="str">
        <f aca="false">IF($B436="","",IFERROR(INDEX(Products!$B$2:$B$201,MATCH($B436,Products!$A$2:$A$201,0)),"Unknown code"))</f>
        <v/>
      </c>
      <c r="F436" s="22" t="str">
        <f aca="false">IF($B436="","",IFERROR(INDEX(Products!$C$2:$C$201,MATCH($B436,Products!$A$2:$A$201,0)),""))</f>
        <v/>
      </c>
      <c r="G436" s="17" t="str">
        <f aca="false">IF($B436="","",IFERROR(INDEX(Products!$D$2:$D$201,MATCH($B436,Products!$A$2:$A$201,0)),0))</f>
        <v/>
      </c>
      <c r="H436" s="17" t="str">
        <f aca="false">IF($B436="","",C436*G436*(1-D436))</f>
        <v/>
      </c>
      <c r="I436" s="17" t="str">
        <f aca="false">IF($B436="","",C436*IFERROR(INDEX(Products!$E$2:$E$201,MATCH($B436,Products!$A$2:$A$201,0)),0))</f>
        <v/>
      </c>
      <c r="J436" s="17" t="str">
        <f aca="false">IF($B436="","",H436-I436)</f>
        <v/>
      </c>
      <c r="K436" s="16" t="str">
        <f aca="false">IF($A436="","",DATE(YEAR($A436),MONTH($A436),1))</f>
        <v/>
      </c>
    </row>
    <row r="437" customFormat="false" ht="15" hidden="false" customHeight="false" outlineLevel="0" collapsed="false">
      <c r="A437" s="25"/>
      <c r="B437" s="19"/>
      <c r="C437" s="19"/>
      <c r="D437" s="26"/>
      <c r="E437" s="27" t="str">
        <f aca="false">IF($B437="","",IFERROR(INDEX(Products!$B$2:$B$201,MATCH($B437,Products!$A$2:$A$201,0)),"Unknown code"))</f>
        <v/>
      </c>
      <c r="F437" s="22" t="str">
        <f aca="false">IF($B437="","",IFERROR(INDEX(Products!$C$2:$C$201,MATCH($B437,Products!$A$2:$A$201,0)),""))</f>
        <v/>
      </c>
      <c r="G437" s="17" t="str">
        <f aca="false">IF($B437="","",IFERROR(INDEX(Products!$D$2:$D$201,MATCH($B437,Products!$A$2:$A$201,0)),0))</f>
        <v/>
      </c>
      <c r="H437" s="17" t="str">
        <f aca="false">IF($B437="","",C437*G437*(1-D437))</f>
        <v/>
      </c>
      <c r="I437" s="17" t="str">
        <f aca="false">IF($B437="","",C437*IFERROR(INDEX(Products!$E$2:$E$201,MATCH($B437,Products!$A$2:$A$201,0)),0))</f>
        <v/>
      </c>
      <c r="J437" s="17" t="str">
        <f aca="false">IF($B437="","",H437-I437)</f>
        <v/>
      </c>
      <c r="K437" s="16" t="str">
        <f aca="false">IF($A437="","",DATE(YEAR($A437),MONTH($A437),1))</f>
        <v/>
      </c>
    </row>
    <row r="438" customFormat="false" ht="15" hidden="false" customHeight="false" outlineLevel="0" collapsed="false">
      <c r="A438" s="25"/>
      <c r="B438" s="19"/>
      <c r="C438" s="19"/>
      <c r="D438" s="26"/>
      <c r="E438" s="27" t="str">
        <f aca="false">IF($B438="","",IFERROR(INDEX(Products!$B$2:$B$201,MATCH($B438,Products!$A$2:$A$201,0)),"Unknown code"))</f>
        <v/>
      </c>
      <c r="F438" s="22" t="str">
        <f aca="false">IF($B438="","",IFERROR(INDEX(Products!$C$2:$C$201,MATCH($B438,Products!$A$2:$A$201,0)),""))</f>
        <v/>
      </c>
      <c r="G438" s="17" t="str">
        <f aca="false">IF($B438="","",IFERROR(INDEX(Products!$D$2:$D$201,MATCH($B438,Products!$A$2:$A$201,0)),0))</f>
        <v/>
      </c>
      <c r="H438" s="17" t="str">
        <f aca="false">IF($B438="","",C438*G438*(1-D438))</f>
        <v/>
      </c>
      <c r="I438" s="17" t="str">
        <f aca="false">IF($B438="","",C438*IFERROR(INDEX(Products!$E$2:$E$201,MATCH($B438,Products!$A$2:$A$201,0)),0))</f>
        <v/>
      </c>
      <c r="J438" s="17" t="str">
        <f aca="false">IF($B438="","",H438-I438)</f>
        <v/>
      </c>
      <c r="K438" s="16" t="str">
        <f aca="false">IF($A438="","",DATE(YEAR($A438),MONTH($A438),1))</f>
        <v/>
      </c>
    </row>
    <row r="439" customFormat="false" ht="15" hidden="false" customHeight="false" outlineLevel="0" collapsed="false">
      <c r="A439" s="25"/>
      <c r="B439" s="19"/>
      <c r="C439" s="19"/>
      <c r="D439" s="26"/>
      <c r="E439" s="27" t="str">
        <f aca="false">IF($B439="","",IFERROR(INDEX(Products!$B$2:$B$201,MATCH($B439,Products!$A$2:$A$201,0)),"Unknown code"))</f>
        <v/>
      </c>
      <c r="F439" s="22" t="str">
        <f aca="false">IF($B439="","",IFERROR(INDEX(Products!$C$2:$C$201,MATCH($B439,Products!$A$2:$A$201,0)),""))</f>
        <v/>
      </c>
      <c r="G439" s="17" t="str">
        <f aca="false">IF($B439="","",IFERROR(INDEX(Products!$D$2:$D$201,MATCH($B439,Products!$A$2:$A$201,0)),0))</f>
        <v/>
      </c>
      <c r="H439" s="17" t="str">
        <f aca="false">IF($B439="","",C439*G439*(1-D439))</f>
        <v/>
      </c>
      <c r="I439" s="17" t="str">
        <f aca="false">IF($B439="","",C439*IFERROR(INDEX(Products!$E$2:$E$201,MATCH($B439,Products!$A$2:$A$201,0)),0))</f>
        <v/>
      </c>
      <c r="J439" s="17" t="str">
        <f aca="false">IF($B439="","",H439-I439)</f>
        <v/>
      </c>
      <c r="K439" s="16" t="str">
        <f aca="false">IF($A439="","",DATE(YEAR($A439),MONTH($A439),1))</f>
        <v/>
      </c>
    </row>
    <row r="440" customFormat="false" ht="15" hidden="false" customHeight="false" outlineLevel="0" collapsed="false">
      <c r="A440" s="25"/>
      <c r="B440" s="19"/>
      <c r="C440" s="19"/>
      <c r="D440" s="26"/>
      <c r="E440" s="27" t="str">
        <f aca="false">IF($B440="","",IFERROR(INDEX(Products!$B$2:$B$201,MATCH($B440,Products!$A$2:$A$201,0)),"Unknown code"))</f>
        <v/>
      </c>
      <c r="F440" s="22" t="str">
        <f aca="false">IF($B440="","",IFERROR(INDEX(Products!$C$2:$C$201,MATCH($B440,Products!$A$2:$A$201,0)),""))</f>
        <v/>
      </c>
      <c r="G440" s="17" t="str">
        <f aca="false">IF($B440="","",IFERROR(INDEX(Products!$D$2:$D$201,MATCH($B440,Products!$A$2:$A$201,0)),0))</f>
        <v/>
      </c>
      <c r="H440" s="17" t="str">
        <f aca="false">IF($B440="","",C440*G440*(1-D440))</f>
        <v/>
      </c>
      <c r="I440" s="17" t="str">
        <f aca="false">IF($B440="","",C440*IFERROR(INDEX(Products!$E$2:$E$201,MATCH($B440,Products!$A$2:$A$201,0)),0))</f>
        <v/>
      </c>
      <c r="J440" s="17" t="str">
        <f aca="false">IF($B440="","",H440-I440)</f>
        <v/>
      </c>
      <c r="K440" s="16" t="str">
        <f aca="false">IF($A440="","",DATE(YEAR($A440),MONTH($A440),1))</f>
        <v/>
      </c>
    </row>
    <row r="441" customFormat="false" ht="15" hidden="false" customHeight="false" outlineLevel="0" collapsed="false">
      <c r="A441" s="25"/>
      <c r="B441" s="19"/>
      <c r="C441" s="19"/>
      <c r="D441" s="26"/>
      <c r="E441" s="27" t="str">
        <f aca="false">IF($B441="","",IFERROR(INDEX(Products!$B$2:$B$201,MATCH($B441,Products!$A$2:$A$201,0)),"Unknown code"))</f>
        <v/>
      </c>
      <c r="F441" s="22" t="str">
        <f aca="false">IF($B441="","",IFERROR(INDEX(Products!$C$2:$C$201,MATCH($B441,Products!$A$2:$A$201,0)),""))</f>
        <v/>
      </c>
      <c r="G441" s="17" t="str">
        <f aca="false">IF($B441="","",IFERROR(INDEX(Products!$D$2:$D$201,MATCH($B441,Products!$A$2:$A$201,0)),0))</f>
        <v/>
      </c>
      <c r="H441" s="17" t="str">
        <f aca="false">IF($B441="","",C441*G441*(1-D441))</f>
        <v/>
      </c>
      <c r="I441" s="17" t="str">
        <f aca="false">IF($B441="","",C441*IFERROR(INDEX(Products!$E$2:$E$201,MATCH($B441,Products!$A$2:$A$201,0)),0))</f>
        <v/>
      </c>
      <c r="J441" s="17" t="str">
        <f aca="false">IF($B441="","",H441-I441)</f>
        <v/>
      </c>
      <c r="K441" s="16" t="str">
        <f aca="false">IF($A441="","",DATE(YEAR($A441),MONTH($A441),1))</f>
        <v/>
      </c>
    </row>
    <row r="442" customFormat="false" ht="15" hidden="false" customHeight="false" outlineLevel="0" collapsed="false">
      <c r="A442" s="25"/>
      <c r="B442" s="19"/>
      <c r="C442" s="19"/>
      <c r="D442" s="26"/>
      <c r="E442" s="27" t="str">
        <f aca="false">IF($B442="","",IFERROR(INDEX(Products!$B$2:$B$201,MATCH($B442,Products!$A$2:$A$201,0)),"Unknown code"))</f>
        <v/>
      </c>
      <c r="F442" s="22" t="str">
        <f aca="false">IF($B442="","",IFERROR(INDEX(Products!$C$2:$C$201,MATCH($B442,Products!$A$2:$A$201,0)),""))</f>
        <v/>
      </c>
      <c r="G442" s="17" t="str">
        <f aca="false">IF($B442="","",IFERROR(INDEX(Products!$D$2:$D$201,MATCH($B442,Products!$A$2:$A$201,0)),0))</f>
        <v/>
      </c>
      <c r="H442" s="17" t="str">
        <f aca="false">IF($B442="","",C442*G442*(1-D442))</f>
        <v/>
      </c>
      <c r="I442" s="17" t="str">
        <f aca="false">IF($B442="","",C442*IFERROR(INDEX(Products!$E$2:$E$201,MATCH($B442,Products!$A$2:$A$201,0)),0))</f>
        <v/>
      </c>
      <c r="J442" s="17" t="str">
        <f aca="false">IF($B442="","",H442-I442)</f>
        <v/>
      </c>
      <c r="K442" s="16" t="str">
        <f aca="false">IF($A442="","",DATE(YEAR($A442),MONTH($A442),1))</f>
        <v/>
      </c>
    </row>
    <row r="443" customFormat="false" ht="15" hidden="false" customHeight="false" outlineLevel="0" collapsed="false">
      <c r="A443" s="25"/>
      <c r="B443" s="19"/>
      <c r="C443" s="19"/>
      <c r="D443" s="26"/>
      <c r="E443" s="27" t="str">
        <f aca="false">IF($B443="","",IFERROR(INDEX(Products!$B$2:$B$201,MATCH($B443,Products!$A$2:$A$201,0)),"Unknown code"))</f>
        <v/>
      </c>
      <c r="F443" s="22" t="str">
        <f aca="false">IF($B443="","",IFERROR(INDEX(Products!$C$2:$C$201,MATCH($B443,Products!$A$2:$A$201,0)),""))</f>
        <v/>
      </c>
      <c r="G443" s="17" t="str">
        <f aca="false">IF($B443="","",IFERROR(INDEX(Products!$D$2:$D$201,MATCH($B443,Products!$A$2:$A$201,0)),0))</f>
        <v/>
      </c>
      <c r="H443" s="17" t="str">
        <f aca="false">IF($B443="","",C443*G443*(1-D443))</f>
        <v/>
      </c>
      <c r="I443" s="17" t="str">
        <f aca="false">IF($B443="","",C443*IFERROR(INDEX(Products!$E$2:$E$201,MATCH($B443,Products!$A$2:$A$201,0)),0))</f>
        <v/>
      </c>
      <c r="J443" s="17" t="str">
        <f aca="false">IF($B443="","",H443-I443)</f>
        <v/>
      </c>
      <c r="K443" s="16" t="str">
        <f aca="false">IF($A443="","",DATE(YEAR($A443),MONTH($A443),1))</f>
        <v/>
      </c>
    </row>
    <row r="444" customFormat="false" ht="15" hidden="false" customHeight="false" outlineLevel="0" collapsed="false">
      <c r="A444" s="25"/>
      <c r="B444" s="19"/>
      <c r="C444" s="19"/>
      <c r="D444" s="26"/>
      <c r="E444" s="27" t="str">
        <f aca="false">IF($B444="","",IFERROR(INDEX(Products!$B$2:$B$201,MATCH($B444,Products!$A$2:$A$201,0)),"Unknown code"))</f>
        <v/>
      </c>
      <c r="F444" s="22" t="str">
        <f aca="false">IF($B444="","",IFERROR(INDEX(Products!$C$2:$C$201,MATCH($B444,Products!$A$2:$A$201,0)),""))</f>
        <v/>
      </c>
      <c r="G444" s="17" t="str">
        <f aca="false">IF($B444="","",IFERROR(INDEX(Products!$D$2:$D$201,MATCH($B444,Products!$A$2:$A$201,0)),0))</f>
        <v/>
      </c>
      <c r="H444" s="17" t="str">
        <f aca="false">IF($B444="","",C444*G444*(1-D444))</f>
        <v/>
      </c>
      <c r="I444" s="17" t="str">
        <f aca="false">IF($B444="","",C444*IFERROR(INDEX(Products!$E$2:$E$201,MATCH($B444,Products!$A$2:$A$201,0)),0))</f>
        <v/>
      </c>
      <c r="J444" s="17" t="str">
        <f aca="false">IF($B444="","",H444-I444)</f>
        <v/>
      </c>
      <c r="K444" s="16" t="str">
        <f aca="false">IF($A444="","",DATE(YEAR($A444),MONTH($A444),1))</f>
        <v/>
      </c>
    </row>
    <row r="445" customFormat="false" ht="15" hidden="false" customHeight="false" outlineLevel="0" collapsed="false">
      <c r="A445" s="25"/>
      <c r="B445" s="19"/>
      <c r="C445" s="19"/>
      <c r="D445" s="26"/>
      <c r="E445" s="27" t="str">
        <f aca="false">IF($B445="","",IFERROR(INDEX(Products!$B$2:$B$201,MATCH($B445,Products!$A$2:$A$201,0)),"Unknown code"))</f>
        <v/>
      </c>
      <c r="F445" s="22" t="str">
        <f aca="false">IF($B445="","",IFERROR(INDEX(Products!$C$2:$C$201,MATCH($B445,Products!$A$2:$A$201,0)),""))</f>
        <v/>
      </c>
      <c r="G445" s="17" t="str">
        <f aca="false">IF($B445="","",IFERROR(INDEX(Products!$D$2:$D$201,MATCH($B445,Products!$A$2:$A$201,0)),0))</f>
        <v/>
      </c>
      <c r="H445" s="17" t="str">
        <f aca="false">IF($B445="","",C445*G445*(1-D445))</f>
        <v/>
      </c>
      <c r="I445" s="17" t="str">
        <f aca="false">IF($B445="","",C445*IFERROR(INDEX(Products!$E$2:$E$201,MATCH($B445,Products!$A$2:$A$201,0)),0))</f>
        <v/>
      </c>
      <c r="J445" s="17" t="str">
        <f aca="false">IF($B445="","",H445-I445)</f>
        <v/>
      </c>
      <c r="K445" s="16" t="str">
        <f aca="false">IF($A445="","",DATE(YEAR($A445),MONTH($A445),1))</f>
        <v/>
      </c>
    </row>
    <row r="446" customFormat="false" ht="15" hidden="false" customHeight="false" outlineLevel="0" collapsed="false">
      <c r="A446" s="25"/>
      <c r="B446" s="19"/>
      <c r="C446" s="19"/>
      <c r="D446" s="26"/>
      <c r="E446" s="27" t="str">
        <f aca="false">IF($B446="","",IFERROR(INDEX(Products!$B$2:$B$201,MATCH($B446,Products!$A$2:$A$201,0)),"Unknown code"))</f>
        <v/>
      </c>
      <c r="F446" s="22" t="str">
        <f aca="false">IF($B446="","",IFERROR(INDEX(Products!$C$2:$C$201,MATCH($B446,Products!$A$2:$A$201,0)),""))</f>
        <v/>
      </c>
      <c r="G446" s="17" t="str">
        <f aca="false">IF($B446="","",IFERROR(INDEX(Products!$D$2:$D$201,MATCH($B446,Products!$A$2:$A$201,0)),0))</f>
        <v/>
      </c>
      <c r="H446" s="17" t="str">
        <f aca="false">IF($B446="","",C446*G446*(1-D446))</f>
        <v/>
      </c>
      <c r="I446" s="17" t="str">
        <f aca="false">IF($B446="","",C446*IFERROR(INDEX(Products!$E$2:$E$201,MATCH($B446,Products!$A$2:$A$201,0)),0))</f>
        <v/>
      </c>
      <c r="J446" s="17" t="str">
        <f aca="false">IF($B446="","",H446-I446)</f>
        <v/>
      </c>
      <c r="K446" s="16" t="str">
        <f aca="false">IF($A446="","",DATE(YEAR($A446),MONTH($A446),1))</f>
        <v/>
      </c>
    </row>
    <row r="447" customFormat="false" ht="15" hidden="false" customHeight="false" outlineLevel="0" collapsed="false">
      <c r="A447" s="25"/>
      <c r="B447" s="19"/>
      <c r="C447" s="19"/>
      <c r="D447" s="26"/>
      <c r="E447" s="27" t="str">
        <f aca="false">IF($B447="","",IFERROR(INDEX(Products!$B$2:$B$201,MATCH($B447,Products!$A$2:$A$201,0)),"Unknown code"))</f>
        <v/>
      </c>
      <c r="F447" s="22" t="str">
        <f aca="false">IF($B447="","",IFERROR(INDEX(Products!$C$2:$C$201,MATCH($B447,Products!$A$2:$A$201,0)),""))</f>
        <v/>
      </c>
      <c r="G447" s="17" t="str">
        <f aca="false">IF($B447="","",IFERROR(INDEX(Products!$D$2:$D$201,MATCH($B447,Products!$A$2:$A$201,0)),0))</f>
        <v/>
      </c>
      <c r="H447" s="17" t="str">
        <f aca="false">IF($B447="","",C447*G447*(1-D447))</f>
        <v/>
      </c>
      <c r="I447" s="17" t="str">
        <f aca="false">IF($B447="","",C447*IFERROR(INDEX(Products!$E$2:$E$201,MATCH($B447,Products!$A$2:$A$201,0)),0))</f>
        <v/>
      </c>
      <c r="J447" s="17" t="str">
        <f aca="false">IF($B447="","",H447-I447)</f>
        <v/>
      </c>
      <c r="K447" s="16" t="str">
        <f aca="false">IF($A447="","",DATE(YEAR($A447),MONTH($A447),1))</f>
        <v/>
      </c>
    </row>
    <row r="448" customFormat="false" ht="15" hidden="false" customHeight="false" outlineLevel="0" collapsed="false">
      <c r="A448" s="25"/>
      <c r="B448" s="19"/>
      <c r="C448" s="19"/>
      <c r="D448" s="26"/>
      <c r="E448" s="27" t="str">
        <f aca="false">IF($B448="","",IFERROR(INDEX(Products!$B$2:$B$201,MATCH($B448,Products!$A$2:$A$201,0)),"Unknown code"))</f>
        <v/>
      </c>
      <c r="F448" s="22" t="str">
        <f aca="false">IF($B448="","",IFERROR(INDEX(Products!$C$2:$C$201,MATCH($B448,Products!$A$2:$A$201,0)),""))</f>
        <v/>
      </c>
      <c r="G448" s="17" t="str">
        <f aca="false">IF($B448="","",IFERROR(INDEX(Products!$D$2:$D$201,MATCH($B448,Products!$A$2:$A$201,0)),0))</f>
        <v/>
      </c>
      <c r="H448" s="17" t="str">
        <f aca="false">IF($B448="","",C448*G448*(1-D448))</f>
        <v/>
      </c>
      <c r="I448" s="17" t="str">
        <f aca="false">IF($B448="","",C448*IFERROR(INDEX(Products!$E$2:$E$201,MATCH($B448,Products!$A$2:$A$201,0)),0))</f>
        <v/>
      </c>
      <c r="J448" s="17" t="str">
        <f aca="false">IF($B448="","",H448-I448)</f>
        <v/>
      </c>
      <c r="K448" s="16" t="str">
        <f aca="false">IF($A448="","",DATE(YEAR($A448),MONTH($A448),1))</f>
        <v/>
      </c>
    </row>
    <row r="449" customFormat="false" ht="15" hidden="false" customHeight="false" outlineLevel="0" collapsed="false">
      <c r="A449" s="25"/>
      <c r="B449" s="19"/>
      <c r="C449" s="19"/>
      <c r="D449" s="26"/>
      <c r="E449" s="27" t="str">
        <f aca="false">IF($B449="","",IFERROR(INDEX(Products!$B$2:$B$201,MATCH($B449,Products!$A$2:$A$201,0)),"Unknown code"))</f>
        <v/>
      </c>
      <c r="F449" s="22" t="str">
        <f aca="false">IF($B449="","",IFERROR(INDEX(Products!$C$2:$C$201,MATCH($B449,Products!$A$2:$A$201,0)),""))</f>
        <v/>
      </c>
      <c r="G449" s="17" t="str">
        <f aca="false">IF($B449="","",IFERROR(INDEX(Products!$D$2:$D$201,MATCH($B449,Products!$A$2:$A$201,0)),0))</f>
        <v/>
      </c>
      <c r="H449" s="17" t="str">
        <f aca="false">IF($B449="","",C449*G449*(1-D449))</f>
        <v/>
      </c>
      <c r="I449" s="17" t="str">
        <f aca="false">IF($B449="","",C449*IFERROR(INDEX(Products!$E$2:$E$201,MATCH($B449,Products!$A$2:$A$201,0)),0))</f>
        <v/>
      </c>
      <c r="J449" s="17" t="str">
        <f aca="false">IF($B449="","",H449-I449)</f>
        <v/>
      </c>
      <c r="K449" s="16" t="str">
        <f aca="false">IF($A449="","",DATE(YEAR($A449),MONTH($A449),1))</f>
        <v/>
      </c>
    </row>
    <row r="450" customFormat="false" ht="15" hidden="false" customHeight="false" outlineLevel="0" collapsed="false">
      <c r="A450" s="25"/>
      <c r="B450" s="19"/>
      <c r="C450" s="19"/>
      <c r="D450" s="26"/>
      <c r="E450" s="27" t="str">
        <f aca="false">IF($B450="","",IFERROR(INDEX(Products!$B$2:$B$201,MATCH($B450,Products!$A$2:$A$201,0)),"Unknown code"))</f>
        <v/>
      </c>
      <c r="F450" s="22" t="str">
        <f aca="false">IF($B450="","",IFERROR(INDEX(Products!$C$2:$C$201,MATCH($B450,Products!$A$2:$A$201,0)),""))</f>
        <v/>
      </c>
      <c r="G450" s="17" t="str">
        <f aca="false">IF($B450="","",IFERROR(INDEX(Products!$D$2:$D$201,MATCH($B450,Products!$A$2:$A$201,0)),0))</f>
        <v/>
      </c>
      <c r="H450" s="17" t="str">
        <f aca="false">IF($B450="","",C450*G450*(1-D450))</f>
        <v/>
      </c>
      <c r="I450" s="17" t="str">
        <f aca="false">IF($B450="","",C450*IFERROR(INDEX(Products!$E$2:$E$201,MATCH($B450,Products!$A$2:$A$201,0)),0))</f>
        <v/>
      </c>
      <c r="J450" s="17" t="str">
        <f aca="false">IF($B450="","",H450-I450)</f>
        <v/>
      </c>
      <c r="K450" s="16" t="str">
        <f aca="false">IF($A450="","",DATE(YEAR($A450),MONTH($A450),1))</f>
        <v/>
      </c>
    </row>
    <row r="451" customFormat="false" ht="15" hidden="false" customHeight="false" outlineLevel="0" collapsed="false">
      <c r="A451" s="25"/>
      <c r="B451" s="19"/>
      <c r="C451" s="19"/>
      <c r="D451" s="26"/>
      <c r="E451" s="27" t="str">
        <f aca="false">IF($B451="","",IFERROR(INDEX(Products!$B$2:$B$201,MATCH($B451,Products!$A$2:$A$201,0)),"Unknown code"))</f>
        <v/>
      </c>
      <c r="F451" s="22" t="str">
        <f aca="false">IF($B451="","",IFERROR(INDEX(Products!$C$2:$C$201,MATCH($B451,Products!$A$2:$A$201,0)),""))</f>
        <v/>
      </c>
      <c r="G451" s="17" t="str">
        <f aca="false">IF($B451="","",IFERROR(INDEX(Products!$D$2:$D$201,MATCH($B451,Products!$A$2:$A$201,0)),0))</f>
        <v/>
      </c>
      <c r="H451" s="17" t="str">
        <f aca="false">IF($B451="","",C451*G451*(1-D451))</f>
        <v/>
      </c>
      <c r="I451" s="17" t="str">
        <f aca="false">IF($B451="","",C451*IFERROR(INDEX(Products!$E$2:$E$201,MATCH($B451,Products!$A$2:$A$201,0)),0))</f>
        <v/>
      </c>
      <c r="J451" s="17" t="str">
        <f aca="false">IF($B451="","",H451-I451)</f>
        <v/>
      </c>
      <c r="K451" s="16" t="str">
        <f aca="false">IF($A451="","",DATE(YEAR($A451),MONTH($A451),1))</f>
        <v/>
      </c>
    </row>
    <row r="452" customFormat="false" ht="15" hidden="false" customHeight="false" outlineLevel="0" collapsed="false">
      <c r="A452" s="25"/>
      <c r="B452" s="19"/>
      <c r="C452" s="19"/>
      <c r="D452" s="26"/>
      <c r="E452" s="27" t="str">
        <f aca="false">IF($B452="","",IFERROR(INDEX(Products!$B$2:$B$201,MATCH($B452,Products!$A$2:$A$201,0)),"Unknown code"))</f>
        <v/>
      </c>
      <c r="F452" s="22" t="str">
        <f aca="false">IF($B452="","",IFERROR(INDEX(Products!$C$2:$C$201,MATCH($B452,Products!$A$2:$A$201,0)),""))</f>
        <v/>
      </c>
      <c r="G452" s="17" t="str">
        <f aca="false">IF($B452="","",IFERROR(INDEX(Products!$D$2:$D$201,MATCH($B452,Products!$A$2:$A$201,0)),0))</f>
        <v/>
      </c>
      <c r="H452" s="17" t="str">
        <f aca="false">IF($B452="","",C452*G452*(1-D452))</f>
        <v/>
      </c>
      <c r="I452" s="17" t="str">
        <f aca="false">IF($B452="","",C452*IFERROR(INDEX(Products!$E$2:$E$201,MATCH($B452,Products!$A$2:$A$201,0)),0))</f>
        <v/>
      </c>
      <c r="J452" s="17" t="str">
        <f aca="false">IF($B452="","",H452-I452)</f>
        <v/>
      </c>
      <c r="K452" s="16" t="str">
        <f aca="false">IF($A452="","",DATE(YEAR($A452),MONTH($A452),1))</f>
        <v/>
      </c>
    </row>
    <row r="453" customFormat="false" ht="15" hidden="false" customHeight="false" outlineLevel="0" collapsed="false">
      <c r="A453" s="25"/>
      <c r="B453" s="19"/>
      <c r="C453" s="19"/>
      <c r="D453" s="26"/>
      <c r="E453" s="27" t="str">
        <f aca="false">IF($B453="","",IFERROR(INDEX(Products!$B$2:$B$201,MATCH($B453,Products!$A$2:$A$201,0)),"Unknown code"))</f>
        <v/>
      </c>
      <c r="F453" s="22" t="str">
        <f aca="false">IF($B453="","",IFERROR(INDEX(Products!$C$2:$C$201,MATCH($B453,Products!$A$2:$A$201,0)),""))</f>
        <v/>
      </c>
      <c r="G453" s="17" t="str">
        <f aca="false">IF($B453="","",IFERROR(INDEX(Products!$D$2:$D$201,MATCH($B453,Products!$A$2:$A$201,0)),0))</f>
        <v/>
      </c>
      <c r="H453" s="17" t="str">
        <f aca="false">IF($B453="","",C453*G453*(1-D453))</f>
        <v/>
      </c>
      <c r="I453" s="17" t="str">
        <f aca="false">IF($B453="","",C453*IFERROR(INDEX(Products!$E$2:$E$201,MATCH($B453,Products!$A$2:$A$201,0)),0))</f>
        <v/>
      </c>
      <c r="J453" s="17" t="str">
        <f aca="false">IF($B453="","",H453-I453)</f>
        <v/>
      </c>
      <c r="K453" s="16" t="str">
        <f aca="false">IF($A453="","",DATE(YEAR($A453),MONTH($A453),1))</f>
        <v/>
      </c>
    </row>
    <row r="454" customFormat="false" ht="15" hidden="false" customHeight="false" outlineLevel="0" collapsed="false">
      <c r="A454" s="25"/>
      <c r="B454" s="19"/>
      <c r="C454" s="19"/>
      <c r="D454" s="26"/>
      <c r="E454" s="27" t="str">
        <f aca="false">IF($B454="","",IFERROR(INDEX(Products!$B$2:$B$201,MATCH($B454,Products!$A$2:$A$201,0)),"Unknown code"))</f>
        <v/>
      </c>
      <c r="F454" s="22" t="str">
        <f aca="false">IF($B454="","",IFERROR(INDEX(Products!$C$2:$C$201,MATCH($B454,Products!$A$2:$A$201,0)),""))</f>
        <v/>
      </c>
      <c r="G454" s="17" t="str">
        <f aca="false">IF($B454="","",IFERROR(INDEX(Products!$D$2:$D$201,MATCH($B454,Products!$A$2:$A$201,0)),0))</f>
        <v/>
      </c>
      <c r="H454" s="17" t="str">
        <f aca="false">IF($B454="","",C454*G454*(1-D454))</f>
        <v/>
      </c>
      <c r="I454" s="17" t="str">
        <f aca="false">IF($B454="","",C454*IFERROR(INDEX(Products!$E$2:$E$201,MATCH($B454,Products!$A$2:$A$201,0)),0))</f>
        <v/>
      </c>
      <c r="J454" s="17" t="str">
        <f aca="false">IF($B454="","",H454-I454)</f>
        <v/>
      </c>
      <c r="K454" s="16" t="str">
        <f aca="false">IF($A454="","",DATE(YEAR($A454),MONTH($A454),1))</f>
        <v/>
      </c>
    </row>
    <row r="455" customFormat="false" ht="15" hidden="false" customHeight="false" outlineLevel="0" collapsed="false">
      <c r="A455" s="25"/>
      <c r="B455" s="19"/>
      <c r="C455" s="19"/>
      <c r="D455" s="26"/>
      <c r="E455" s="27" t="str">
        <f aca="false">IF($B455="","",IFERROR(INDEX(Products!$B$2:$B$201,MATCH($B455,Products!$A$2:$A$201,0)),"Unknown code"))</f>
        <v/>
      </c>
      <c r="F455" s="22" t="str">
        <f aca="false">IF($B455="","",IFERROR(INDEX(Products!$C$2:$C$201,MATCH($B455,Products!$A$2:$A$201,0)),""))</f>
        <v/>
      </c>
      <c r="G455" s="17" t="str">
        <f aca="false">IF($B455="","",IFERROR(INDEX(Products!$D$2:$D$201,MATCH($B455,Products!$A$2:$A$201,0)),0))</f>
        <v/>
      </c>
      <c r="H455" s="17" t="str">
        <f aca="false">IF($B455="","",C455*G455*(1-D455))</f>
        <v/>
      </c>
      <c r="I455" s="17" t="str">
        <f aca="false">IF($B455="","",C455*IFERROR(INDEX(Products!$E$2:$E$201,MATCH($B455,Products!$A$2:$A$201,0)),0))</f>
        <v/>
      </c>
      <c r="J455" s="17" t="str">
        <f aca="false">IF($B455="","",H455-I455)</f>
        <v/>
      </c>
      <c r="K455" s="16" t="str">
        <f aca="false">IF($A455="","",DATE(YEAR($A455),MONTH($A455),1))</f>
        <v/>
      </c>
    </row>
    <row r="456" customFormat="false" ht="15" hidden="false" customHeight="false" outlineLevel="0" collapsed="false">
      <c r="A456" s="25"/>
      <c r="B456" s="19"/>
      <c r="C456" s="19"/>
      <c r="D456" s="26"/>
      <c r="E456" s="27" t="str">
        <f aca="false">IF($B456="","",IFERROR(INDEX(Products!$B$2:$B$201,MATCH($B456,Products!$A$2:$A$201,0)),"Unknown code"))</f>
        <v/>
      </c>
      <c r="F456" s="22" t="str">
        <f aca="false">IF($B456="","",IFERROR(INDEX(Products!$C$2:$C$201,MATCH($B456,Products!$A$2:$A$201,0)),""))</f>
        <v/>
      </c>
      <c r="G456" s="17" t="str">
        <f aca="false">IF($B456="","",IFERROR(INDEX(Products!$D$2:$D$201,MATCH($B456,Products!$A$2:$A$201,0)),0))</f>
        <v/>
      </c>
      <c r="H456" s="17" t="str">
        <f aca="false">IF($B456="","",C456*G456*(1-D456))</f>
        <v/>
      </c>
      <c r="I456" s="17" t="str">
        <f aca="false">IF($B456="","",C456*IFERROR(INDEX(Products!$E$2:$E$201,MATCH($B456,Products!$A$2:$A$201,0)),0))</f>
        <v/>
      </c>
      <c r="J456" s="17" t="str">
        <f aca="false">IF($B456="","",H456-I456)</f>
        <v/>
      </c>
      <c r="K456" s="16" t="str">
        <f aca="false">IF($A456="","",DATE(YEAR($A456),MONTH($A456),1))</f>
        <v/>
      </c>
    </row>
    <row r="457" customFormat="false" ht="15" hidden="false" customHeight="false" outlineLevel="0" collapsed="false">
      <c r="A457" s="25"/>
      <c r="B457" s="19"/>
      <c r="C457" s="19"/>
      <c r="D457" s="26"/>
      <c r="E457" s="27" t="str">
        <f aca="false">IF($B457="","",IFERROR(INDEX(Products!$B$2:$B$201,MATCH($B457,Products!$A$2:$A$201,0)),"Unknown code"))</f>
        <v/>
      </c>
      <c r="F457" s="22" t="str">
        <f aca="false">IF($B457="","",IFERROR(INDEX(Products!$C$2:$C$201,MATCH($B457,Products!$A$2:$A$201,0)),""))</f>
        <v/>
      </c>
      <c r="G457" s="17" t="str">
        <f aca="false">IF($B457="","",IFERROR(INDEX(Products!$D$2:$D$201,MATCH($B457,Products!$A$2:$A$201,0)),0))</f>
        <v/>
      </c>
      <c r="H457" s="17" t="str">
        <f aca="false">IF($B457="","",C457*G457*(1-D457))</f>
        <v/>
      </c>
      <c r="I457" s="17" t="str">
        <f aca="false">IF($B457="","",C457*IFERROR(INDEX(Products!$E$2:$E$201,MATCH($B457,Products!$A$2:$A$201,0)),0))</f>
        <v/>
      </c>
      <c r="J457" s="17" t="str">
        <f aca="false">IF($B457="","",H457-I457)</f>
        <v/>
      </c>
      <c r="K457" s="16" t="str">
        <f aca="false">IF($A457="","",DATE(YEAR($A457),MONTH($A457),1))</f>
        <v/>
      </c>
    </row>
    <row r="458" customFormat="false" ht="15" hidden="false" customHeight="false" outlineLevel="0" collapsed="false">
      <c r="A458" s="25"/>
      <c r="B458" s="19"/>
      <c r="C458" s="19"/>
      <c r="D458" s="26"/>
      <c r="E458" s="27" t="str">
        <f aca="false">IF($B458="","",IFERROR(INDEX(Products!$B$2:$B$201,MATCH($B458,Products!$A$2:$A$201,0)),"Unknown code"))</f>
        <v/>
      </c>
      <c r="F458" s="22" t="str">
        <f aca="false">IF($B458="","",IFERROR(INDEX(Products!$C$2:$C$201,MATCH($B458,Products!$A$2:$A$201,0)),""))</f>
        <v/>
      </c>
      <c r="G458" s="17" t="str">
        <f aca="false">IF($B458="","",IFERROR(INDEX(Products!$D$2:$D$201,MATCH($B458,Products!$A$2:$A$201,0)),0))</f>
        <v/>
      </c>
      <c r="H458" s="17" t="str">
        <f aca="false">IF($B458="","",C458*G458*(1-D458))</f>
        <v/>
      </c>
      <c r="I458" s="17" t="str">
        <f aca="false">IF($B458="","",C458*IFERROR(INDEX(Products!$E$2:$E$201,MATCH($B458,Products!$A$2:$A$201,0)),0))</f>
        <v/>
      </c>
      <c r="J458" s="17" t="str">
        <f aca="false">IF($B458="","",H458-I458)</f>
        <v/>
      </c>
      <c r="K458" s="16" t="str">
        <f aca="false">IF($A458="","",DATE(YEAR($A458),MONTH($A458),1))</f>
        <v/>
      </c>
    </row>
    <row r="459" customFormat="false" ht="15" hidden="false" customHeight="false" outlineLevel="0" collapsed="false">
      <c r="A459" s="25"/>
      <c r="B459" s="19"/>
      <c r="C459" s="19"/>
      <c r="D459" s="26"/>
      <c r="E459" s="27" t="str">
        <f aca="false">IF($B459="","",IFERROR(INDEX(Products!$B$2:$B$201,MATCH($B459,Products!$A$2:$A$201,0)),"Unknown code"))</f>
        <v/>
      </c>
      <c r="F459" s="22" t="str">
        <f aca="false">IF($B459="","",IFERROR(INDEX(Products!$C$2:$C$201,MATCH($B459,Products!$A$2:$A$201,0)),""))</f>
        <v/>
      </c>
      <c r="G459" s="17" t="str">
        <f aca="false">IF($B459="","",IFERROR(INDEX(Products!$D$2:$D$201,MATCH($B459,Products!$A$2:$A$201,0)),0))</f>
        <v/>
      </c>
      <c r="H459" s="17" t="str">
        <f aca="false">IF($B459="","",C459*G459*(1-D459))</f>
        <v/>
      </c>
      <c r="I459" s="17" t="str">
        <f aca="false">IF($B459="","",C459*IFERROR(INDEX(Products!$E$2:$E$201,MATCH($B459,Products!$A$2:$A$201,0)),0))</f>
        <v/>
      </c>
      <c r="J459" s="17" t="str">
        <f aca="false">IF($B459="","",H459-I459)</f>
        <v/>
      </c>
      <c r="K459" s="16" t="str">
        <f aca="false">IF($A459="","",DATE(YEAR($A459),MONTH($A459),1))</f>
        <v/>
      </c>
    </row>
    <row r="460" customFormat="false" ht="15" hidden="false" customHeight="false" outlineLevel="0" collapsed="false">
      <c r="A460" s="25"/>
      <c r="B460" s="19"/>
      <c r="C460" s="19"/>
      <c r="D460" s="26"/>
      <c r="E460" s="27" t="str">
        <f aca="false">IF($B460="","",IFERROR(INDEX(Products!$B$2:$B$201,MATCH($B460,Products!$A$2:$A$201,0)),"Unknown code"))</f>
        <v/>
      </c>
      <c r="F460" s="22" t="str">
        <f aca="false">IF($B460="","",IFERROR(INDEX(Products!$C$2:$C$201,MATCH($B460,Products!$A$2:$A$201,0)),""))</f>
        <v/>
      </c>
      <c r="G460" s="17" t="str">
        <f aca="false">IF($B460="","",IFERROR(INDEX(Products!$D$2:$D$201,MATCH($B460,Products!$A$2:$A$201,0)),0))</f>
        <v/>
      </c>
      <c r="H460" s="17" t="str">
        <f aca="false">IF($B460="","",C460*G460*(1-D460))</f>
        <v/>
      </c>
      <c r="I460" s="17" t="str">
        <f aca="false">IF($B460="","",C460*IFERROR(INDEX(Products!$E$2:$E$201,MATCH($B460,Products!$A$2:$A$201,0)),0))</f>
        <v/>
      </c>
      <c r="J460" s="17" t="str">
        <f aca="false">IF($B460="","",H460-I460)</f>
        <v/>
      </c>
      <c r="K460" s="16" t="str">
        <f aca="false">IF($A460="","",DATE(YEAR($A460),MONTH($A460),1))</f>
        <v/>
      </c>
    </row>
    <row r="461" customFormat="false" ht="15" hidden="false" customHeight="false" outlineLevel="0" collapsed="false">
      <c r="A461" s="25"/>
      <c r="B461" s="19"/>
      <c r="C461" s="19"/>
      <c r="D461" s="26"/>
      <c r="E461" s="27" t="str">
        <f aca="false">IF($B461="","",IFERROR(INDEX(Products!$B$2:$B$201,MATCH($B461,Products!$A$2:$A$201,0)),"Unknown code"))</f>
        <v/>
      </c>
      <c r="F461" s="22" t="str">
        <f aca="false">IF($B461="","",IFERROR(INDEX(Products!$C$2:$C$201,MATCH($B461,Products!$A$2:$A$201,0)),""))</f>
        <v/>
      </c>
      <c r="G461" s="17" t="str">
        <f aca="false">IF($B461="","",IFERROR(INDEX(Products!$D$2:$D$201,MATCH($B461,Products!$A$2:$A$201,0)),0))</f>
        <v/>
      </c>
      <c r="H461" s="17" t="str">
        <f aca="false">IF($B461="","",C461*G461*(1-D461))</f>
        <v/>
      </c>
      <c r="I461" s="17" t="str">
        <f aca="false">IF($B461="","",C461*IFERROR(INDEX(Products!$E$2:$E$201,MATCH($B461,Products!$A$2:$A$201,0)),0))</f>
        <v/>
      </c>
      <c r="J461" s="17" t="str">
        <f aca="false">IF($B461="","",H461-I461)</f>
        <v/>
      </c>
      <c r="K461" s="16" t="str">
        <f aca="false">IF($A461="","",DATE(YEAR($A461),MONTH($A461),1))</f>
        <v/>
      </c>
    </row>
    <row r="462" customFormat="false" ht="15" hidden="false" customHeight="false" outlineLevel="0" collapsed="false">
      <c r="A462" s="25"/>
      <c r="B462" s="19"/>
      <c r="C462" s="19"/>
      <c r="D462" s="26"/>
      <c r="E462" s="27" t="str">
        <f aca="false">IF($B462="","",IFERROR(INDEX(Products!$B$2:$B$201,MATCH($B462,Products!$A$2:$A$201,0)),"Unknown code"))</f>
        <v/>
      </c>
      <c r="F462" s="22" t="str">
        <f aca="false">IF($B462="","",IFERROR(INDEX(Products!$C$2:$C$201,MATCH($B462,Products!$A$2:$A$201,0)),""))</f>
        <v/>
      </c>
      <c r="G462" s="17" t="str">
        <f aca="false">IF($B462="","",IFERROR(INDEX(Products!$D$2:$D$201,MATCH($B462,Products!$A$2:$A$201,0)),0))</f>
        <v/>
      </c>
      <c r="H462" s="17" t="str">
        <f aca="false">IF($B462="","",C462*G462*(1-D462))</f>
        <v/>
      </c>
      <c r="I462" s="17" t="str">
        <f aca="false">IF($B462="","",C462*IFERROR(INDEX(Products!$E$2:$E$201,MATCH($B462,Products!$A$2:$A$201,0)),0))</f>
        <v/>
      </c>
      <c r="J462" s="17" t="str">
        <f aca="false">IF($B462="","",H462-I462)</f>
        <v/>
      </c>
      <c r="K462" s="16" t="str">
        <f aca="false">IF($A462="","",DATE(YEAR($A462),MONTH($A462),1))</f>
        <v/>
      </c>
    </row>
    <row r="463" customFormat="false" ht="15" hidden="false" customHeight="false" outlineLevel="0" collapsed="false">
      <c r="A463" s="25"/>
      <c r="B463" s="19"/>
      <c r="C463" s="19"/>
      <c r="D463" s="26"/>
      <c r="E463" s="27" t="str">
        <f aca="false">IF($B463="","",IFERROR(INDEX(Products!$B$2:$B$201,MATCH($B463,Products!$A$2:$A$201,0)),"Unknown code"))</f>
        <v/>
      </c>
      <c r="F463" s="22" t="str">
        <f aca="false">IF($B463="","",IFERROR(INDEX(Products!$C$2:$C$201,MATCH($B463,Products!$A$2:$A$201,0)),""))</f>
        <v/>
      </c>
      <c r="G463" s="17" t="str">
        <f aca="false">IF($B463="","",IFERROR(INDEX(Products!$D$2:$D$201,MATCH($B463,Products!$A$2:$A$201,0)),0))</f>
        <v/>
      </c>
      <c r="H463" s="17" t="str">
        <f aca="false">IF($B463="","",C463*G463*(1-D463))</f>
        <v/>
      </c>
      <c r="I463" s="17" t="str">
        <f aca="false">IF($B463="","",C463*IFERROR(INDEX(Products!$E$2:$E$201,MATCH($B463,Products!$A$2:$A$201,0)),0))</f>
        <v/>
      </c>
      <c r="J463" s="17" t="str">
        <f aca="false">IF($B463="","",H463-I463)</f>
        <v/>
      </c>
      <c r="K463" s="16" t="str">
        <f aca="false">IF($A463="","",DATE(YEAR($A463),MONTH($A463),1))</f>
        <v/>
      </c>
    </row>
    <row r="464" customFormat="false" ht="15" hidden="false" customHeight="false" outlineLevel="0" collapsed="false">
      <c r="A464" s="25"/>
      <c r="B464" s="19"/>
      <c r="C464" s="19"/>
      <c r="D464" s="26"/>
      <c r="E464" s="27" t="str">
        <f aca="false">IF($B464="","",IFERROR(INDEX(Products!$B$2:$B$201,MATCH($B464,Products!$A$2:$A$201,0)),"Unknown code"))</f>
        <v/>
      </c>
      <c r="F464" s="22" t="str">
        <f aca="false">IF($B464="","",IFERROR(INDEX(Products!$C$2:$C$201,MATCH($B464,Products!$A$2:$A$201,0)),""))</f>
        <v/>
      </c>
      <c r="G464" s="17" t="str">
        <f aca="false">IF($B464="","",IFERROR(INDEX(Products!$D$2:$D$201,MATCH($B464,Products!$A$2:$A$201,0)),0))</f>
        <v/>
      </c>
      <c r="H464" s="17" t="str">
        <f aca="false">IF($B464="","",C464*G464*(1-D464))</f>
        <v/>
      </c>
      <c r="I464" s="17" t="str">
        <f aca="false">IF($B464="","",C464*IFERROR(INDEX(Products!$E$2:$E$201,MATCH($B464,Products!$A$2:$A$201,0)),0))</f>
        <v/>
      </c>
      <c r="J464" s="17" t="str">
        <f aca="false">IF($B464="","",H464-I464)</f>
        <v/>
      </c>
      <c r="K464" s="16" t="str">
        <f aca="false">IF($A464="","",DATE(YEAR($A464),MONTH($A464),1))</f>
        <v/>
      </c>
    </row>
    <row r="465" customFormat="false" ht="15" hidden="false" customHeight="false" outlineLevel="0" collapsed="false">
      <c r="A465" s="25"/>
      <c r="B465" s="19"/>
      <c r="C465" s="19"/>
      <c r="D465" s="26"/>
      <c r="E465" s="27" t="str">
        <f aca="false">IF($B465="","",IFERROR(INDEX(Products!$B$2:$B$201,MATCH($B465,Products!$A$2:$A$201,0)),"Unknown code"))</f>
        <v/>
      </c>
      <c r="F465" s="22" t="str">
        <f aca="false">IF($B465="","",IFERROR(INDEX(Products!$C$2:$C$201,MATCH($B465,Products!$A$2:$A$201,0)),""))</f>
        <v/>
      </c>
      <c r="G465" s="17" t="str">
        <f aca="false">IF($B465="","",IFERROR(INDEX(Products!$D$2:$D$201,MATCH($B465,Products!$A$2:$A$201,0)),0))</f>
        <v/>
      </c>
      <c r="H465" s="17" t="str">
        <f aca="false">IF($B465="","",C465*G465*(1-D465))</f>
        <v/>
      </c>
      <c r="I465" s="17" t="str">
        <f aca="false">IF($B465="","",C465*IFERROR(INDEX(Products!$E$2:$E$201,MATCH($B465,Products!$A$2:$A$201,0)),0))</f>
        <v/>
      </c>
      <c r="J465" s="17" t="str">
        <f aca="false">IF($B465="","",H465-I465)</f>
        <v/>
      </c>
      <c r="K465" s="16" t="str">
        <f aca="false">IF($A465="","",DATE(YEAR($A465),MONTH($A465),1))</f>
        <v/>
      </c>
    </row>
    <row r="466" customFormat="false" ht="15" hidden="false" customHeight="false" outlineLevel="0" collapsed="false">
      <c r="A466" s="25"/>
      <c r="B466" s="19"/>
      <c r="C466" s="19"/>
      <c r="D466" s="26"/>
      <c r="E466" s="27" t="str">
        <f aca="false">IF($B466="","",IFERROR(INDEX(Products!$B$2:$B$201,MATCH($B466,Products!$A$2:$A$201,0)),"Unknown code"))</f>
        <v/>
      </c>
      <c r="F466" s="22" t="str">
        <f aca="false">IF($B466="","",IFERROR(INDEX(Products!$C$2:$C$201,MATCH($B466,Products!$A$2:$A$201,0)),""))</f>
        <v/>
      </c>
      <c r="G466" s="17" t="str">
        <f aca="false">IF($B466="","",IFERROR(INDEX(Products!$D$2:$D$201,MATCH($B466,Products!$A$2:$A$201,0)),0))</f>
        <v/>
      </c>
      <c r="H466" s="17" t="str">
        <f aca="false">IF($B466="","",C466*G466*(1-D466))</f>
        <v/>
      </c>
      <c r="I466" s="17" t="str">
        <f aca="false">IF($B466="","",C466*IFERROR(INDEX(Products!$E$2:$E$201,MATCH($B466,Products!$A$2:$A$201,0)),0))</f>
        <v/>
      </c>
      <c r="J466" s="17" t="str">
        <f aca="false">IF($B466="","",H466-I466)</f>
        <v/>
      </c>
      <c r="K466" s="16" t="str">
        <f aca="false">IF($A466="","",DATE(YEAR($A466),MONTH($A466),1))</f>
        <v/>
      </c>
    </row>
    <row r="467" customFormat="false" ht="15" hidden="false" customHeight="false" outlineLevel="0" collapsed="false">
      <c r="A467" s="25"/>
      <c r="B467" s="19"/>
      <c r="C467" s="19"/>
      <c r="D467" s="26"/>
      <c r="E467" s="27" t="str">
        <f aca="false">IF($B467="","",IFERROR(INDEX(Products!$B$2:$B$201,MATCH($B467,Products!$A$2:$A$201,0)),"Unknown code"))</f>
        <v/>
      </c>
      <c r="F467" s="22" t="str">
        <f aca="false">IF($B467="","",IFERROR(INDEX(Products!$C$2:$C$201,MATCH($B467,Products!$A$2:$A$201,0)),""))</f>
        <v/>
      </c>
      <c r="G467" s="17" t="str">
        <f aca="false">IF($B467="","",IFERROR(INDEX(Products!$D$2:$D$201,MATCH($B467,Products!$A$2:$A$201,0)),0))</f>
        <v/>
      </c>
      <c r="H467" s="17" t="str">
        <f aca="false">IF($B467="","",C467*G467*(1-D467))</f>
        <v/>
      </c>
      <c r="I467" s="17" t="str">
        <f aca="false">IF($B467="","",C467*IFERROR(INDEX(Products!$E$2:$E$201,MATCH($B467,Products!$A$2:$A$201,0)),0))</f>
        <v/>
      </c>
      <c r="J467" s="17" t="str">
        <f aca="false">IF($B467="","",H467-I467)</f>
        <v/>
      </c>
      <c r="K467" s="16" t="str">
        <f aca="false">IF($A467="","",DATE(YEAR($A467),MONTH($A467),1))</f>
        <v/>
      </c>
    </row>
    <row r="468" customFormat="false" ht="15" hidden="false" customHeight="false" outlineLevel="0" collapsed="false">
      <c r="A468" s="25"/>
      <c r="B468" s="19"/>
      <c r="C468" s="19"/>
      <c r="D468" s="26"/>
      <c r="E468" s="27" t="str">
        <f aca="false">IF($B468="","",IFERROR(INDEX(Products!$B$2:$B$201,MATCH($B468,Products!$A$2:$A$201,0)),"Unknown code"))</f>
        <v/>
      </c>
      <c r="F468" s="22" t="str">
        <f aca="false">IF($B468="","",IFERROR(INDEX(Products!$C$2:$C$201,MATCH($B468,Products!$A$2:$A$201,0)),""))</f>
        <v/>
      </c>
      <c r="G468" s="17" t="str">
        <f aca="false">IF($B468="","",IFERROR(INDEX(Products!$D$2:$D$201,MATCH($B468,Products!$A$2:$A$201,0)),0))</f>
        <v/>
      </c>
      <c r="H468" s="17" t="str">
        <f aca="false">IF($B468="","",C468*G468*(1-D468))</f>
        <v/>
      </c>
      <c r="I468" s="17" t="str">
        <f aca="false">IF($B468="","",C468*IFERROR(INDEX(Products!$E$2:$E$201,MATCH($B468,Products!$A$2:$A$201,0)),0))</f>
        <v/>
      </c>
      <c r="J468" s="17" t="str">
        <f aca="false">IF($B468="","",H468-I468)</f>
        <v/>
      </c>
      <c r="K468" s="16" t="str">
        <f aca="false">IF($A468="","",DATE(YEAR($A468),MONTH($A468),1))</f>
        <v/>
      </c>
    </row>
    <row r="469" customFormat="false" ht="15" hidden="false" customHeight="false" outlineLevel="0" collapsed="false">
      <c r="A469" s="25"/>
      <c r="B469" s="19"/>
      <c r="C469" s="19"/>
      <c r="D469" s="26"/>
      <c r="E469" s="27" t="str">
        <f aca="false">IF($B469="","",IFERROR(INDEX(Products!$B$2:$B$201,MATCH($B469,Products!$A$2:$A$201,0)),"Unknown code"))</f>
        <v/>
      </c>
      <c r="F469" s="22" t="str">
        <f aca="false">IF($B469="","",IFERROR(INDEX(Products!$C$2:$C$201,MATCH($B469,Products!$A$2:$A$201,0)),""))</f>
        <v/>
      </c>
      <c r="G469" s="17" t="str">
        <f aca="false">IF($B469="","",IFERROR(INDEX(Products!$D$2:$D$201,MATCH($B469,Products!$A$2:$A$201,0)),0))</f>
        <v/>
      </c>
      <c r="H469" s="17" t="str">
        <f aca="false">IF($B469="","",C469*G469*(1-D469))</f>
        <v/>
      </c>
      <c r="I469" s="17" t="str">
        <f aca="false">IF($B469="","",C469*IFERROR(INDEX(Products!$E$2:$E$201,MATCH($B469,Products!$A$2:$A$201,0)),0))</f>
        <v/>
      </c>
      <c r="J469" s="17" t="str">
        <f aca="false">IF($B469="","",H469-I469)</f>
        <v/>
      </c>
      <c r="K469" s="16" t="str">
        <f aca="false">IF($A469="","",DATE(YEAR($A469),MONTH($A469),1))</f>
        <v/>
      </c>
    </row>
    <row r="470" customFormat="false" ht="15" hidden="false" customHeight="false" outlineLevel="0" collapsed="false">
      <c r="A470" s="25"/>
      <c r="B470" s="19"/>
      <c r="C470" s="19"/>
      <c r="D470" s="26"/>
      <c r="E470" s="27" t="str">
        <f aca="false">IF($B470="","",IFERROR(INDEX(Products!$B$2:$B$201,MATCH($B470,Products!$A$2:$A$201,0)),"Unknown code"))</f>
        <v/>
      </c>
      <c r="F470" s="22" t="str">
        <f aca="false">IF($B470="","",IFERROR(INDEX(Products!$C$2:$C$201,MATCH($B470,Products!$A$2:$A$201,0)),""))</f>
        <v/>
      </c>
      <c r="G470" s="17" t="str">
        <f aca="false">IF($B470="","",IFERROR(INDEX(Products!$D$2:$D$201,MATCH($B470,Products!$A$2:$A$201,0)),0))</f>
        <v/>
      </c>
      <c r="H470" s="17" t="str">
        <f aca="false">IF($B470="","",C470*G470*(1-D470))</f>
        <v/>
      </c>
      <c r="I470" s="17" t="str">
        <f aca="false">IF($B470="","",C470*IFERROR(INDEX(Products!$E$2:$E$201,MATCH($B470,Products!$A$2:$A$201,0)),0))</f>
        <v/>
      </c>
      <c r="J470" s="17" t="str">
        <f aca="false">IF($B470="","",H470-I470)</f>
        <v/>
      </c>
      <c r="K470" s="16" t="str">
        <f aca="false">IF($A470="","",DATE(YEAR($A470),MONTH($A470),1))</f>
        <v/>
      </c>
    </row>
    <row r="471" customFormat="false" ht="15" hidden="false" customHeight="false" outlineLevel="0" collapsed="false">
      <c r="A471" s="25"/>
      <c r="B471" s="19"/>
      <c r="C471" s="19"/>
      <c r="D471" s="26"/>
      <c r="E471" s="27" t="str">
        <f aca="false">IF($B471="","",IFERROR(INDEX(Products!$B$2:$B$201,MATCH($B471,Products!$A$2:$A$201,0)),"Unknown code"))</f>
        <v/>
      </c>
      <c r="F471" s="22" t="str">
        <f aca="false">IF($B471="","",IFERROR(INDEX(Products!$C$2:$C$201,MATCH($B471,Products!$A$2:$A$201,0)),""))</f>
        <v/>
      </c>
      <c r="G471" s="17" t="str">
        <f aca="false">IF($B471="","",IFERROR(INDEX(Products!$D$2:$D$201,MATCH($B471,Products!$A$2:$A$201,0)),0))</f>
        <v/>
      </c>
      <c r="H471" s="17" t="str">
        <f aca="false">IF($B471="","",C471*G471*(1-D471))</f>
        <v/>
      </c>
      <c r="I471" s="17" t="str">
        <f aca="false">IF($B471="","",C471*IFERROR(INDEX(Products!$E$2:$E$201,MATCH($B471,Products!$A$2:$A$201,0)),0))</f>
        <v/>
      </c>
      <c r="J471" s="17" t="str">
        <f aca="false">IF($B471="","",H471-I471)</f>
        <v/>
      </c>
      <c r="K471" s="16" t="str">
        <f aca="false">IF($A471="","",DATE(YEAR($A471),MONTH($A471),1))</f>
        <v/>
      </c>
    </row>
    <row r="472" customFormat="false" ht="15" hidden="false" customHeight="false" outlineLevel="0" collapsed="false">
      <c r="A472" s="25"/>
      <c r="B472" s="19"/>
      <c r="C472" s="19"/>
      <c r="D472" s="26"/>
      <c r="E472" s="27" t="str">
        <f aca="false">IF($B472="","",IFERROR(INDEX(Products!$B$2:$B$201,MATCH($B472,Products!$A$2:$A$201,0)),"Unknown code"))</f>
        <v/>
      </c>
      <c r="F472" s="22" t="str">
        <f aca="false">IF($B472="","",IFERROR(INDEX(Products!$C$2:$C$201,MATCH($B472,Products!$A$2:$A$201,0)),""))</f>
        <v/>
      </c>
      <c r="G472" s="17" t="str">
        <f aca="false">IF($B472="","",IFERROR(INDEX(Products!$D$2:$D$201,MATCH($B472,Products!$A$2:$A$201,0)),0))</f>
        <v/>
      </c>
      <c r="H472" s="17" t="str">
        <f aca="false">IF($B472="","",C472*G472*(1-D472))</f>
        <v/>
      </c>
      <c r="I472" s="17" t="str">
        <f aca="false">IF($B472="","",C472*IFERROR(INDEX(Products!$E$2:$E$201,MATCH($B472,Products!$A$2:$A$201,0)),0))</f>
        <v/>
      </c>
      <c r="J472" s="17" t="str">
        <f aca="false">IF($B472="","",H472-I472)</f>
        <v/>
      </c>
      <c r="K472" s="16" t="str">
        <f aca="false">IF($A472="","",DATE(YEAR($A472),MONTH($A472),1))</f>
        <v/>
      </c>
    </row>
    <row r="473" customFormat="false" ht="15" hidden="false" customHeight="false" outlineLevel="0" collapsed="false">
      <c r="A473" s="25"/>
      <c r="B473" s="19"/>
      <c r="C473" s="19"/>
      <c r="D473" s="26"/>
      <c r="E473" s="27" t="str">
        <f aca="false">IF($B473="","",IFERROR(INDEX(Products!$B$2:$B$201,MATCH($B473,Products!$A$2:$A$201,0)),"Unknown code"))</f>
        <v/>
      </c>
      <c r="F473" s="22" t="str">
        <f aca="false">IF($B473="","",IFERROR(INDEX(Products!$C$2:$C$201,MATCH($B473,Products!$A$2:$A$201,0)),""))</f>
        <v/>
      </c>
      <c r="G473" s="17" t="str">
        <f aca="false">IF($B473="","",IFERROR(INDEX(Products!$D$2:$D$201,MATCH($B473,Products!$A$2:$A$201,0)),0))</f>
        <v/>
      </c>
      <c r="H473" s="17" t="str">
        <f aca="false">IF($B473="","",C473*G473*(1-D473))</f>
        <v/>
      </c>
      <c r="I473" s="17" t="str">
        <f aca="false">IF($B473="","",C473*IFERROR(INDEX(Products!$E$2:$E$201,MATCH($B473,Products!$A$2:$A$201,0)),0))</f>
        <v/>
      </c>
      <c r="J473" s="17" t="str">
        <f aca="false">IF($B473="","",H473-I473)</f>
        <v/>
      </c>
      <c r="K473" s="16" t="str">
        <f aca="false">IF($A473="","",DATE(YEAR($A473),MONTH($A473),1))</f>
        <v/>
      </c>
    </row>
    <row r="474" customFormat="false" ht="15" hidden="false" customHeight="false" outlineLevel="0" collapsed="false">
      <c r="A474" s="25"/>
      <c r="B474" s="19"/>
      <c r="C474" s="19"/>
      <c r="D474" s="26"/>
      <c r="E474" s="27" t="str">
        <f aca="false">IF($B474="","",IFERROR(INDEX(Products!$B$2:$B$201,MATCH($B474,Products!$A$2:$A$201,0)),"Unknown code"))</f>
        <v/>
      </c>
      <c r="F474" s="22" t="str">
        <f aca="false">IF($B474="","",IFERROR(INDEX(Products!$C$2:$C$201,MATCH($B474,Products!$A$2:$A$201,0)),""))</f>
        <v/>
      </c>
      <c r="G474" s="17" t="str">
        <f aca="false">IF($B474="","",IFERROR(INDEX(Products!$D$2:$D$201,MATCH($B474,Products!$A$2:$A$201,0)),0))</f>
        <v/>
      </c>
      <c r="H474" s="17" t="str">
        <f aca="false">IF($B474="","",C474*G474*(1-D474))</f>
        <v/>
      </c>
      <c r="I474" s="17" t="str">
        <f aca="false">IF($B474="","",C474*IFERROR(INDEX(Products!$E$2:$E$201,MATCH($B474,Products!$A$2:$A$201,0)),0))</f>
        <v/>
      </c>
      <c r="J474" s="17" t="str">
        <f aca="false">IF($B474="","",H474-I474)</f>
        <v/>
      </c>
      <c r="K474" s="16" t="str">
        <f aca="false">IF($A474="","",DATE(YEAR($A474),MONTH($A474),1))</f>
        <v/>
      </c>
    </row>
    <row r="475" customFormat="false" ht="15" hidden="false" customHeight="false" outlineLevel="0" collapsed="false">
      <c r="A475" s="25"/>
      <c r="B475" s="19"/>
      <c r="C475" s="19"/>
      <c r="D475" s="26"/>
      <c r="E475" s="27" t="str">
        <f aca="false">IF($B475="","",IFERROR(INDEX(Products!$B$2:$B$201,MATCH($B475,Products!$A$2:$A$201,0)),"Unknown code"))</f>
        <v/>
      </c>
      <c r="F475" s="22" t="str">
        <f aca="false">IF($B475="","",IFERROR(INDEX(Products!$C$2:$C$201,MATCH($B475,Products!$A$2:$A$201,0)),""))</f>
        <v/>
      </c>
      <c r="G475" s="17" t="str">
        <f aca="false">IF($B475="","",IFERROR(INDEX(Products!$D$2:$D$201,MATCH($B475,Products!$A$2:$A$201,0)),0))</f>
        <v/>
      </c>
      <c r="H475" s="17" t="str">
        <f aca="false">IF($B475="","",C475*G475*(1-D475))</f>
        <v/>
      </c>
      <c r="I475" s="17" t="str">
        <f aca="false">IF($B475="","",C475*IFERROR(INDEX(Products!$E$2:$E$201,MATCH($B475,Products!$A$2:$A$201,0)),0))</f>
        <v/>
      </c>
      <c r="J475" s="17" t="str">
        <f aca="false">IF($B475="","",H475-I475)</f>
        <v/>
      </c>
      <c r="K475" s="16" t="str">
        <f aca="false">IF($A475="","",DATE(YEAR($A475),MONTH($A475),1))</f>
        <v/>
      </c>
    </row>
    <row r="476" customFormat="false" ht="15" hidden="false" customHeight="false" outlineLevel="0" collapsed="false">
      <c r="A476" s="25"/>
      <c r="B476" s="19"/>
      <c r="C476" s="19"/>
      <c r="D476" s="26"/>
      <c r="E476" s="27" t="str">
        <f aca="false">IF($B476="","",IFERROR(INDEX(Products!$B$2:$B$201,MATCH($B476,Products!$A$2:$A$201,0)),"Unknown code"))</f>
        <v/>
      </c>
      <c r="F476" s="22" t="str">
        <f aca="false">IF($B476="","",IFERROR(INDEX(Products!$C$2:$C$201,MATCH($B476,Products!$A$2:$A$201,0)),""))</f>
        <v/>
      </c>
      <c r="G476" s="17" t="str">
        <f aca="false">IF($B476="","",IFERROR(INDEX(Products!$D$2:$D$201,MATCH($B476,Products!$A$2:$A$201,0)),0))</f>
        <v/>
      </c>
      <c r="H476" s="17" t="str">
        <f aca="false">IF($B476="","",C476*G476*(1-D476))</f>
        <v/>
      </c>
      <c r="I476" s="17" t="str">
        <f aca="false">IF($B476="","",C476*IFERROR(INDEX(Products!$E$2:$E$201,MATCH($B476,Products!$A$2:$A$201,0)),0))</f>
        <v/>
      </c>
      <c r="J476" s="17" t="str">
        <f aca="false">IF($B476="","",H476-I476)</f>
        <v/>
      </c>
      <c r="K476" s="16" t="str">
        <f aca="false">IF($A476="","",DATE(YEAR($A476),MONTH($A476),1))</f>
        <v/>
      </c>
    </row>
    <row r="477" customFormat="false" ht="15" hidden="false" customHeight="false" outlineLevel="0" collapsed="false">
      <c r="A477" s="25"/>
      <c r="B477" s="19"/>
      <c r="C477" s="19"/>
      <c r="D477" s="26"/>
      <c r="E477" s="27" t="str">
        <f aca="false">IF($B477="","",IFERROR(INDEX(Products!$B$2:$B$201,MATCH($B477,Products!$A$2:$A$201,0)),"Unknown code"))</f>
        <v/>
      </c>
      <c r="F477" s="22" t="str">
        <f aca="false">IF($B477="","",IFERROR(INDEX(Products!$C$2:$C$201,MATCH($B477,Products!$A$2:$A$201,0)),""))</f>
        <v/>
      </c>
      <c r="G477" s="17" t="str">
        <f aca="false">IF($B477="","",IFERROR(INDEX(Products!$D$2:$D$201,MATCH($B477,Products!$A$2:$A$201,0)),0))</f>
        <v/>
      </c>
      <c r="H477" s="17" t="str">
        <f aca="false">IF($B477="","",C477*G477*(1-D477))</f>
        <v/>
      </c>
      <c r="I477" s="17" t="str">
        <f aca="false">IF($B477="","",C477*IFERROR(INDEX(Products!$E$2:$E$201,MATCH($B477,Products!$A$2:$A$201,0)),0))</f>
        <v/>
      </c>
      <c r="J477" s="17" t="str">
        <f aca="false">IF($B477="","",H477-I477)</f>
        <v/>
      </c>
      <c r="K477" s="16" t="str">
        <f aca="false">IF($A477="","",DATE(YEAR($A477),MONTH($A477),1))</f>
        <v/>
      </c>
    </row>
    <row r="478" customFormat="false" ht="15" hidden="false" customHeight="false" outlineLevel="0" collapsed="false">
      <c r="A478" s="25"/>
      <c r="B478" s="19"/>
      <c r="C478" s="19"/>
      <c r="D478" s="26"/>
      <c r="E478" s="27" t="str">
        <f aca="false">IF($B478="","",IFERROR(INDEX(Products!$B$2:$B$201,MATCH($B478,Products!$A$2:$A$201,0)),"Unknown code"))</f>
        <v/>
      </c>
      <c r="F478" s="22" t="str">
        <f aca="false">IF($B478="","",IFERROR(INDEX(Products!$C$2:$C$201,MATCH($B478,Products!$A$2:$A$201,0)),""))</f>
        <v/>
      </c>
      <c r="G478" s="17" t="str">
        <f aca="false">IF($B478="","",IFERROR(INDEX(Products!$D$2:$D$201,MATCH($B478,Products!$A$2:$A$201,0)),0))</f>
        <v/>
      </c>
      <c r="H478" s="17" t="str">
        <f aca="false">IF($B478="","",C478*G478*(1-D478))</f>
        <v/>
      </c>
      <c r="I478" s="17" t="str">
        <f aca="false">IF($B478="","",C478*IFERROR(INDEX(Products!$E$2:$E$201,MATCH($B478,Products!$A$2:$A$201,0)),0))</f>
        <v/>
      </c>
      <c r="J478" s="17" t="str">
        <f aca="false">IF($B478="","",H478-I478)</f>
        <v/>
      </c>
      <c r="K478" s="16" t="str">
        <f aca="false">IF($A478="","",DATE(YEAR($A478),MONTH($A478),1))</f>
        <v/>
      </c>
    </row>
    <row r="479" customFormat="false" ht="15" hidden="false" customHeight="false" outlineLevel="0" collapsed="false">
      <c r="A479" s="25"/>
      <c r="B479" s="19"/>
      <c r="C479" s="19"/>
      <c r="D479" s="26"/>
      <c r="E479" s="27" t="str">
        <f aca="false">IF($B479="","",IFERROR(INDEX(Products!$B$2:$B$201,MATCH($B479,Products!$A$2:$A$201,0)),"Unknown code"))</f>
        <v/>
      </c>
      <c r="F479" s="22" t="str">
        <f aca="false">IF($B479="","",IFERROR(INDEX(Products!$C$2:$C$201,MATCH($B479,Products!$A$2:$A$201,0)),""))</f>
        <v/>
      </c>
      <c r="G479" s="17" t="str">
        <f aca="false">IF($B479="","",IFERROR(INDEX(Products!$D$2:$D$201,MATCH($B479,Products!$A$2:$A$201,0)),0))</f>
        <v/>
      </c>
      <c r="H479" s="17" t="str">
        <f aca="false">IF($B479="","",C479*G479*(1-D479))</f>
        <v/>
      </c>
      <c r="I479" s="17" t="str">
        <f aca="false">IF($B479="","",C479*IFERROR(INDEX(Products!$E$2:$E$201,MATCH($B479,Products!$A$2:$A$201,0)),0))</f>
        <v/>
      </c>
      <c r="J479" s="17" t="str">
        <f aca="false">IF($B479="","",H479-I479)</f>
        <v/>
      </c>
      <c r="K479" s="16" t="str">
        <f aca="false">IF($A479="","",DATE(YEAR($A479),MONTH($A479),1))</f>
        <v/>
      </c>
    </row>
    <row r="480" customFormat="false" ht="15" hidden="false" customHeight="false" outlineLevel="0" collapsed="false">
      <c r="A480" s="25"/>
      <c r="B480" s="19"/>
      <c r="C480" s="19"/>
      <c r="D480" s="26"/>
      <c r="E480" s="27" t="str">
        <f aca="false">IF($B480="","",IFERROR(INDEX(Products!$B$2:$B$201,MATCH($B480,Products!$A$2:$A$201,0)),"Unknown code"))</f>
        <v/>
      </c>
      <c r="F480" s="22" t="str">
        <f aca="false">IF($B480="","",IFERROR(INDEX(Products!$C$2:$C$201,MATCH($B480,Products!$A$2:$A$201,0)),""))</f>
        <v/>
      </c>
      <c r="G480" s="17" t="str">
        <f aca="false">IF($B480="","",IFERROR(INDEX(Products!$D$2:$D$201,MATCH($B480,Products!$A$2:$A$201,0)),0))</f>
        <v/>
      </c>
      <c r="H480" s="17" t="str">
        <f aca="false">IF($B480="","",C480*G480*(1-D480))</f>
        <v/>
      </c>
      <c r="I480" s="17" t="str">
        <f aca="false">IF($B480="","",C480*IFERROR(INDEX(Products!$E$2:$E$201,MATCH($B480,Products!$A$2:$A$201,0)),0))</f>
        <v/>
      </c>
      <c r="J480" s="17" t="str">
        <f aca="false">IF($B480="","",H480-I480)</f>
        <v/>
      </c>
      <c r="K480" s="16" t="str">
        <f aca="false">IF($A480="","",DATE(YEAR($A480),MONTH($A480),1))</f>
        <v/>
      </c>
    </row>
    <row r="481" customFormat="false" ht="15" hidden="false" customHeight="false" outlineLevel="0" collapsed="false">
      <c r="A481" s="25"/>
      <c r="B481" s="19"/>
      <c r="C481" s="19"/>
      <c r="D481" s="26"/>
      <c r="E481" s="27" t="str">
        <f aca="false">IF($B481="","",IFERROR(INDEX(Products!$B$2:$B$201,MATCH($B481,Products!$A$2:$A$201,0)),"Unknown code"))</f>
        <v/>
      </c>
      <c r="F481" s="22" t="str">
        <f aca="false">IF($B481="","",IFERROR(INDEX(Products!$C$2:$C$201,MATCH($B481,Products!$A$2:$A$201,0)),""))</f>
        <v/>
      </c>
      <c r="G481" s="17" t="str">
        <f aca="false">IF($B481="","",IFERROR(INDEX(Products!$D$2:$D$201,MATCH($B481,Products!$A$2:$A$201,0)),0))</f>
        <v/>
      </c>
      <c r="H481" s="17" t="str">
        <f aca="false">IF($B481="","",C481*G481*(1-D481))</f>
        <v/>
      </c>
      <c r="I481" s="17" t="str">
        <f aca="false">IF($B481="","",C481*IFERROR(INDEX(Products!$E$2:$E$201,MATCH($B481,Products!$A$2:$A$201,0)),0))</f>
        <v/>
      </c>
      <c r="J481" s="17" t="str">
        <f aca="false">IF($B481="","",H481-I481)</f>
        <v/>
      </c>
      <c r="K481" s="16" t="str">
        <f aca="false">IF($A481="","",DATE(YEAR($A481),MONTH($A481),1))</f>
        <v/>
      </c>
    </row>
    <row r="482" customFormat="false" ht="15" hidden="false" customHeight="false" outlineLevel="0" collapsed="false">
      <c r="A482" s="25"/>
      <c r="B482" s="19"/>
      <c r="C482" s="19"/>
      <c r="D482" s="26"/>
      <c r="E482" s="27" t="str">
        <f aca="false">IF($B482="","",IFERROR(INDEX(Products!$B$2:$B$201,MATCH($B482,Products!$A$2:$A$201,0)),"Unknown code"))</f>
        <v/>
      </c>
      <c r="F482" s="22" t="str">
        <f aca="false">IF($B482="","",IFERROR(INDEX(Products!$C$2:$C$201,MATCH($B482,Products!$A$2:$A$201,0)),""))</f>
        <v/>
      </c>
      <c r="G482" s="17" t="str">
        <f aca="false">IF($B482="","",IFERROR(INDEX(Products!$D$2:$D$201,MATCH($B482,Products!$A$2:$A$201,0)),0))</f>
        <v/>
      </c>
      <c r="H482" s="17" t="str">
        <f aca="false">IF($B482="","",C482*G482*(1-D482))</f>
        <v/>
      </c>
      <c r="I482" s="17" t="str">
        <f aca="false">IF($B482="","",C482*IFERROR(INDEX(Products!$E$2:$E$201,MATCH($B482,Products!$A$2:$A$201,0)),0))</f>
        <v/>
      </c>
      <c r="J482" s="17" t="str">
        <f aca="false">IF($B482="","",H482-I482)</f>
        <v/>
      </c>
      <c r="K482" s="16" t="str">
        <f aca="false">IF($A482="","",DATE(YEAR($A482),MONTH($A482),1))</f>
        <v/>
      </c>
    </row>
    <row r="483" customFormat="false" ht="15" hidden="false" customHeight="false" outlineLevel="0" collapsed="false">
      <c r="A483" s="25"/>
      <c r="B483" s="19"/>
      <c r="C483" s="19"/>
      <c r="D483" s="26"/>
      <c r="E483" s="27" t="str">
        <f aca="false">IF($B483="","",IFERROR(INDEX(Products!$B$2:$B$201,MATCH($B483,Products!$A$2:$A$201,0)),"Unknown code"))</f>
        <v/>
      </c>
      <c r="F483" s="22" t="str">
        <f aca="false">IF($B483="","",IFERROR(INDEX(Products!$C$2:$C$201,MATCH($B483,Products!$A$2:$A$201,0)),""))</f>
        <v/>
      </c>
      <c r="G483" s="17" t="str">
        <f aca="false">IF($B483="","",IFERROR(INDEX(Products!$D$2:$D$201,MATCH($B483,Products!$A$2:$A$201,0)),0))</f>
        <v/>
      </c>
      <c r="H483" s="17" t="str">
        <f aca="false">IF($B483="","",C483*G483*(1-D483))</f>
        <v/>
      </c>
      <c r="I483" s="17" t="str">
        <f aca="false">IF($B483="","",C483*IFERROR(INDEX(Products!$E$2:$E$201,MATCH($B483,Products!$A$2:$A$201,0)),0))</f>
        <v/>
      </c>
      <c r="J483" s="17" t="str">
        <f aca="false">IF($B483="","",H483-I483)</f>
        <v/>
      </c>
      <c r="K483" s="16" t="str">
        <f aca="false">IF($A483="","",DATE(YEAR($A483),MONTH($A483),1))</f>
        <v/>
      </c>
    </row>
    <row r="484" customFormat="false" ht="15" hidden="false" customHeight="false" outlineLevel="0" collapsed="false">
      <c r="A484" s="25"/>
      <c r="B484" s="19"/>
      <c r="C484" s="19"/>
      <c r="D484" s="26"/>
      <c r="E484" s="27" t="str">
        <f aca="false">IF($B484="","",IFERROR(INDEX(Products!$B$2:$B$201,MATCH($B484,Products!$A$2:$A$201,0)),"Unknown code"))</f>
        <v/>
      </c>
      <c r="F484" s="22" t="str">
        <f aca="false">IF($B484="","",IFERROR(INDEX(Products!$C$2:$C$201,MATCH($B484,Products!$A$2:$A$201,0)),""))</f>
        <v/>
      </c>
      <c r="G484" s="17" t="str">
        <f aca="false">IF($B484="","",IFERROR(INDEX(Products!$D$2:$D$201,MATCH($B484,Products!$A$2:$A$201,0)),0))</f>
        <v/>
      </c>
      <c r="H484" s="17" t="str">
        <f aca="false">IF($B484="","",C484*G484*(1-D484))</f>
        <v/>
      </c>
      <c r="I484" s="17" t="str">
        <f aca="false">IF($B484="","",C484*IFERROR(INDEX(Products!$E$2:$E$201,MATCH($B484,Products!$A$2:$A$201,0)),0))</f>
        <v/>
      </c>
      <c r="J484" s="17" t="str">
        <f aca="false">IF($B484="","",H484-I484)</f>
        <v/>
      </c>
      <c r="K484" s="16" t="str">
        <f aca="false">IF($A484="","",DATE(YEAR($A484),MONTH($A484),1))</f>
        <v/>
      </c>
    </row>
    <row r="485" customFormat="false" ht="15" hidden="false" customHeight="false" outlineLevel="0" collapsed="false">
      <c r="A485" s="25"/>
      <c r="B485" s="19"/>
      <c r="C485" s="19"/>
      <c r="D485" s="26"/>
      <c r="E485" s="27" t="str">
        <f aca="false">IF($B485="","",IFERROR(INDEX(Products!$B$2:$B$201,MATCH($B485,Products!$A$2:$A$201,0)),"Unknown code"))</f>
        <v/>
      </c>
      <c r="F485" s="22" t="str">
        <f aca="false">IF($B485="","",IFERROR(INDEX(Products!$C$2:$C$201,MATCH($B485,Products!$A$2:$A$201,0)),""))</f>
        <v/>
      </c>
      <c r="G485" s="17" t="str">
        <f aca="false">IF($B485="","",IFERROR(INDEX(Products!$D$2:$D$201,MATCH($B485,Products!$A$2:$A$201,0)),0))</f>
        <v/>
      </c>
      <c r="H485" s="17" t="str">
        <f aca="false">IF($B485="","",C485*G485*(1-D485))</f>
        <v/>
      </c>
      <c r="I485" s="17" t="str">
        <f aca="false">IF($B485="","",C485*IFERROR(INDEX(Products!$E$2:$E$201,MATCH($B485,Products!$A$2:$A$201,0)),0))</f>
        <v/>
      </c>
      <c r="J485" s="17" t="str">
        <f aca="false">IF($B485="","",H485-I485)</f>
        <v/>
      </c>
      <c r="K485" s="16" t="str">
        <f aca="false">IF($A485="","",DATE(YEAR($A485),MONTH($A485),1))</f>
        <v/>
      </c>
    </row>
    <row r="486" customFormat="false" ht="15" hidden="false" customHeight="false" outlineLevel="0" collapsed="false">
      <c r="A486" s="25"/>
      <c r="B486" s="19"/>
      <c r="C486" s="19"/>
      <c r="D486" s="26"/>
      <c r="E486" s="27" t="str">
        <f aca="false">IF($B486="","",IFERROR(INDEX(Products!$B$2:$B$201,MATCH($B486,Products!$A$2:$A$201,0)),"Unknown code"))</f>
        <v/>
      </c>
      <c r="F486" s="22" t="str">
        <f aca="false">IF($B486="","",IFERROR(INDEX(Products!$C$2:$C$201,MATCH($B486,Products!$A$2:$A$201,0)),""))</f>
        <v/>
      </c>
      <c r="G486" s="17" t="str">
        <f aca="false">IF($B486="","",IFERROR(INDEX(Products!$D$2:$D$201,MATCH($B486,Products!$A$2:$A$201,0)),0))</f>
        <v/>
      </c>
      <c r="H486" s="17" t="str">
        <f aca="false">IF($B486="","",C486*G486*(1-D486))</f>
        <v/>
      </c>
      <c r="I486" s="17" t="str">
        <f aca="false">IF($B486="","",C486*IFERROR(INDEX(Products!$E$2:$E$201,MATCH($B486,Products!$A$2:$A$201,0)),0))</f>
        <v/>
      </c>
      <c r="J486" s="17" t="str">
        <f aca="false">IF($B486="","",H486-I486)</f>
        <v/>
      </c>
      <c r="K486" s="16" t="str">
        <f aca="false">IF($A486="","",DATE(YEAR($A486),MONTH($A486),1))</f>
        <v/>
      </c>
    </row>
    <row r="487" customFormat="false" ht="15" hidden="false" customHeight="false" outlineLevel="0" collapsed="false">
      <c r="A487" s="25"/>
      <c r="B487" s="19"/>
      <c r="C487" s="19"/>
      <c r="D487" s="26"/>
      <c r="E487" s="27" t="str">
        <f aca="false">IF($B487="","",IFERROR(INDEX(Products!$B$2:$B$201,MATCH($B487,Products!$A$2:$A$201,0)),"Unknown code"))</f>
        <v/>
      </c>
      <c r="F487" s="22" t="str">
        <f aca="false">IF($B487="","",IFERROR(INDEX(Products!$C$2:$C$201,MATCH($B487,Products!$A$2:$A$201,0)),""))</f>
        <v/>
      </c>
      <c r="G487" s="17" t="str">
        <f aca="false">IF($B487="","",IFERROR(INDEX(Products!$D$2:$D$201,MATCH($B487,Products!$A$2:$A$201,0)),0))</f>
        <v/>
      </c>
      <c r="H487" s="17" t="str">
        <f aca="false">IF($B487="","",C487*G487*(1-D487))</f>
        <v/>
      </c>
      <c r="I487" s="17" t="str">
        <f aca="false">IF($B487="","",C487*IFERROR(INDEX(Products!$E$2:$E$201,MATCH($B487,Products!$A$2:$A$201,0)),0))</f>
        <v/>
      </c>
      <c r="J487" s="17" t="str">
        <f aca="false">IF($B487="","",H487-I487)</f>
        <v/>
      </c>
      <c r="K487" s="16" t="str">
        <f aca="false">IF($A487="","",DATE(YEAR($A487),MONTH($A487),1))</f>
        <v/>
      </c>
    </row>
    <row r="488" customFormat="false" ht="15" hidden="false" customHeight="false" outlineLevel="0" collapsed="false">
      <c r="A488" s="25"/>
      <c r="B488" s="19"/>
      <c r="C488" s="19"/>
      <c r="D488" s="26"/>
      <c r="E488" s="27" t="str">
        <f aca="false">IF($B488="","",IFERROR(INDEX(Products!$B$2:$B$201,MATCH($B488,Products!$A$2:$A$201,0)),"Unknown code"))</f>
        <v/>
      </c>
      <c r="F488" s="22" t="str">
        <f aca="false">IF($B488="","",IFERROR(INDEX(Products!$C$2:$C$201,MATCH($B488,Products!$A$2:$A$201,0)),""))</f>
        <v/>
      </c>
      <c r="G488" s="17" t="str">
        <f aca="false">IF($B488="","",IFERROR(INDEX(Products!$D$2:$D$201,MATCH($B488,Products!$A$2:$A$201,0)),0))</f>
        <v/>
      </c>
      <c r="H488" s="17" t="str">
        <f aca="false">IF($B488="","",C488*G488*(1-D488))</f>
        <v/>
      </c>
      <c r="I488" s="17" t="str">
        <f aca="false">IF($B488="","",C488*IFERROR(INDEX(Products!$E$2:$E$201,MATCH($B488,Products!$A$2:$A$201,0)),0))</f>
        <v/>
      </c>
      <c r="J488" s="17" t="str">
        <f aca="false">IF($B488="","",H488-I488)</f>
        <v/>
      </c>
      <c r="K488" s="16" t="str">
        <f aca="false">IF($A488="","",DATE(YEAR($A488),MONTH($A488),1))</f>
        <v/>
      </c>
    </row>
    <row r="489" customFormat="false" ht="15" hidden="false" customHeight="false" outlineLevel="0" collapsed="false">
      <c r="A489" s="25"/>
      <c r="B489" s="19"/>
      <c r="C489" s="19"/>
      <c r="D489" s="26"/>
      <c r="E489" s="27" t="str">
        <f aca="false">IF($B489="","",IFERROR(INDEX(Products!$B$2:$B$201,MATCH($B489,Products!$A$2:$A$201,0)),"Unknown code"))</f>
        <v/>
      </c>
      <c r="F489" s="22" t="str">
        <f aca="false">IF($B489="","",IFERROR(INDEX(Products!$C$2:$C$201,MATCH($B489,Products!$A$2:$A$201,0)),""))</f>
        <v/>
      </c>
      <c r="G489" s="17" t="str">
        <f aca="false">IF($B489="","",IFERROR(INDEX(Products!$D$2:$D$201,MATCH($B489,Products!$A$2:$A$201,0)),0))</f>
        <v/>
      </c>
      <c r="H489" s="17" t="str">
        <f aca="false">IF($B489="","",C489*G489*(1-D489))</f>
        <v/>
      </c>
      <c r="I489" s="17" t="str">
        <f aca="false">IF($B489="","",C489*IFERROR(INDEX(Products!$E$2:$E$201,MATCH($B489,Products!$A$2:$A$201,0)),0))</f>
        <v/>
      </c>
      <c r="J489" s="17" t="str">
        <f aca="false">IF($B489="","",H489-I489)</f>
        <v/>
      </c>
      <c r="K489" s="16" t="str">
        <f aca="false">IF($A489="","",DATE(YEAR($A489),MONTH($A489),1))</f>
        <v/>
      </c>
    </row>
    <row r="490" customFormat="false" ht="15" hidden="false" customHeight="false" outlineLevel="0" collapsed="false">
      <c r="A490" s="25"/>
      <c r="B490" s="19"/>
      <c r="C490" s="19"/>
      <c r="D490" s="26"/>
      <c r="E490" s="27" t="str">
        <f aca="false">IF($B490="","",IFERROR(INDEX(Products!$B$2:$B$201,MATCH($B490,Products!$A$2:$A$201,0)),"Unknown code"))</f>
        <v/>
      </c>
      <c r="F490" s="22" t="str">
        <f aca="false">IF($B490="","",IFERROR(INDEX(Products!$C$2:$C$201,MATCH($B490,Products!$A$2:$A$201,0)),""))</f>
        <v/>
      </c>
      <c r="G490" s="17" t="str">
        <f aca="false">IF($B490="","",IFERROR(INDEX(Products!$D$2:$D$201,MATCH($B490,Products!$A$2:$A$201,0)),0))</f>
        <v/>
      </c>
      <c r="H490" s="17" t="str">
        <f aca="false">IF($B490="","",C490*G490*(1-D490))</f>
        <v/>
      </c>
      <c r="I490" s="17" t="str">
        <f aca="false">IF($B490="","",C490*IFERROR(INDEX(Products!$E$2:$E$201,MATCH($B490,Products!$A$2:$A$201,0)),0))</f>
        <v/>
      </c>
      <c r="J490" s="17" t="str">
        <f aca="false">IF($B490="","",H490-I490)</f>
        <v/>
      </c>
      <c r="K490" s="16" t="str">
        <f aca="false">IF($A490="","",DATE(YEAR($A490),MONTH($A490),1))</f>
        <v/>
      </c>
    </row>
    <row r="491" customFormat="false" ht="15" hidden="false" customHeight="false" outlineLevel="0" collapsed="false">
      <c r="A491" s="25"/>
      <c r="B491" s="19"/>
      <c r="C491" s="19"/>
      <c r="D491" s="26"/>
      <c r="E491" s="27" t="str">
        <f aca="false">IF($B491="","",IFERROR(INDEX(Products!$B$2:$B$201,MATCH($B491,Products!$A$2:$A$201,0)),"Unknown code"))</f>
        <v/>
      </c>
      <c r="F491" s="22" t="str">
        <f aca="false">IF($B491="","",IFERROR(INDEX(Products!$C$2:$C$201,MATCH($B491,Products!$A$2:$A$201,0)),""))</f>
        <v/>
      </c>
      <c r="G491" s="17" t="str">
        <f aca="false">IF($B491="","",IFERROR(INDEX(Products!$D$2:$D$201,MATCH($B491,Products!$A$2:$A$201,0)),0))</f>
        <v/>
      </c>
      <c r="H491" s="17" t="str">
        <f aca="false">IF($B491="","",C491*G491*(1-D491))</f>
        <v/>
      </c>
      <c r="I491" s="17" t="str">
        <f aca="false">IF($B491="","",C491*IFERROR(INDEX(Products!$E$2:$E$201,MATCH($B491,Products!$A$2:$A$201,0)),0))</f>
        <v/>
      </c>
      <c r="J491" s="17" t="str">
        <f aca="false">IF($B491="","",H491-I491)</f>
        <v/>
      </c>
      <c r="K491" s="16" t="str">
        <f aca="false">IF($A491="","",DATE(YEAR($A491),MONTH($A491),1))</f>
        <v/>
      </c>
    </row>
    <row r="492" customFormat="false" ht="15" hidden="false" customHeight="false" outlineLevel="0" collapsed="false">
      <c r="A492" s="25"/>
      <c r="B492" s="19"/>
      <c r="C492" s="19"/>
      <c r="D492" s="26"/>
      <c r="E492" s="27" t="str">
        <f aca="false">IF($B492="","",IFERROR(INDEX(Products!$B$2:$B$201,MATCH($B492,Products!$A$2:$A$201,0)),"Unknown code"))</f>
        <v/>
      </c>
      <c r="F492" s="22" t="str">
        <f aca="false">IF($B492="","",IFERROR(INDEX(Products!$C$2:$C$201,MATCH($B492,Products!$A$2:$A$201,0)),""))</f>
        <v/>
      </c>
      <c r="G492" s="17" t="str">
        <f aca="false">IF($B492="","",IFERROR(INDEX(Products!$D$2:$D$201,MATCH($B492,Products!$A$2:$A$201,0)),0))</f>
        <v/>
      </c>
      <c r="H492" s="17" t="str">
        <f aca="false">IF($B492="","",C492*G492*(1-D492))</f>
        <v/>
      </c>
      <c r="I492" s="17" t="str">
        <f aca="false">IF($B492="","",C492*IFERROR(INDEX(Products!$E$2:$E$201,MATCH($B492,Products!$A$2:$A$201,0)),0))</f>
        <v/>
      </c>
      <c r="J492" s="17" t="str">
        <f aca="false">IF($B492="","",H492-I492)</f>
        <v/>
      </c>
      <c r="K492" s="16" t="str">
        <f aca="false">IF($A492="","",DATE(YEAR($A492),MONTH($A492),1))</f>
        <v/>
      </c>
    </row>
    <row r="493" customFormat="false" ht="15" hidden="false" customHeight="false" outlineLevel="0" collapsed="false">
      <c r="A493" s="25"/>
      <c r="B493" s="19"/>
      <c r="C493" s="19"/>
      <c r="D493" s="26"/>
      <c r="E493" s="27" t="str">
        <f aca="false">IF($B493="","",IFERROR(INDEX(Products!$B$2:$B$201,MATCH($B493,Products!$A$2:$A$201,0)),"Unknown code"))</f>
        <v/>
      </c>
      <c r="F493" s="22" t="str">
        <f aca="false">IF($B493="","",IFERROR(INDEX(Products!$C$2:$C$201,MATCH($B493,Products!$A$2:$A$201,0)),""))</f>
        <v/>
      </c>
      <c r="G493" s="17" t="str">
        <f aca="false">IF($B493="","",IFERROR(INDEX(Products!$D$2:$D$201,MATCH($B493,Products!$A$2:$A$201,0)),0))</f>
        <v/>
      </c>
      <c r="H493" s="17" t="str">
        <f aca="false">IF($B493="","",C493*G493*(1-D493))</f>
        <v/>
      </c>
      <c r="I493" s="17" t="str">
        <f aca="false">IF($B493="","",C493*IFERROR(INDEX(Products!$E$2:$E$201,MATCH($B493,Products!$A$2:$A$201,0)),0))</f>
        <v/>
      </c>
      <c r="J493" s="17" t="str">
        <f aca="false">IF($B493="","",H493-I493)</f>
        <v/>
      </c>
      <c r="K493" s="16" t="str">
        <f aca="false">IF($A493="","",DATE(YEAR($A493),MONTH($A493),1))</f>
        <v/>
      </c>
    </row>
    <row r="494" customFormat="false" ht="15" hidden="false" customHeight="false" outlineLevel="0" collapsed="false">
      <c r="A494" s="25"/>
      <c r="B494" s="19"/>
      <c r="C494" s="19"/>
      <c r="D494" s="26"/>
      <c r="E494" s="27" t="str">
        <f aca="false">IF($B494="","",IFERROR(INDEX(Products!$B$2:$B$201,MATCH($B494,Products!$A$2:$A$201,0)),"Unknown code"))</f>
        <v/>
      </c>
      <c r="F494" s="22" t="str">
        <f aca="false">IF($B494="","",IFERROR(INDEX(Products!$C$2:$C$201,MATCH($B494,Products!$A$2:$A$201,0)),""))</f>
        <v/>
      </c>
      <c r="G494" s="17" t="str">
        <f aca="false">IF($B494="","",IFERROR(INDEX(Products!$D$2:$D$201,MATCH($B494,Products!$A$2:$A$201,0)),0))</f>
        <v/>
      </c>
      <c r="H494" s="17" t="str">
        <f aca="false">IF($B494="","",C494*G494*(1-D494))</f>
        <v/>
      </c>
      <c r="I494" s="17" t="str">
        <f aca="false">IF($B494="","",C494*IFERROR(INDEX(Products!$E$2:$E$201,MATCH($B494,Products!$A$2:$A$201,0)),0))</f>
        <v/>
      </c>
      <c r="J494" s="17" t="str">
        <f aca="false">IF($B494="","",H494-I494)</f>
        <v/>
      </c>
      <c r="K494" s="16" t="str">
        <f aca="false">IF($A494="","",DATE(YEAR($A494),MONTH($A494),1))</f>
        <v/>
      </c>
    </row>
    <row r="495" customFormat="false" ht="15" hidden="false" customHeight="false" outlineLevel="0" collapsed="false">
      <c r="A495" s="25"/>
      <c r="B495" s="19"/>
      <c r="C495" s="19"/>
      <c r="D495" s="26"/>
      <c r="E495" s="27" t="str">
        <f aca="false">IF($B495="","",IFERROR(INDEX(Products!$B$2:$B$201,MATCH($B495,Products!$A$2:$A$201,0)),"Unknown code"))</f>
        <v/>
      </c>
      <c r="F495" s="22" t="str">
        <f aca="false">IF($B495="","",IFERROR(INDEX(Products!$C$2:$C$201,MATCH($B495,Products!$A$2:$A$201,0)),""))</f>
        <v/>
      </c>
      <c r="G495" s="17" t="str">
        <f aca="false">IF($B495="","",IFERROR(INDEX(Products!$D$2:$D$201,MATCH($B495,Products!$A$2:$A$201,0)),0))</f>
        <v/>
      </c>
      <c r="H495" s="17" t="str">
        <f aca="false">IF($B495="","",C495*G495*(1-D495))</f>
        <v/>
      </c>
      <c r="I495" s="17" t="str">
        <f aca="false">IF($B495="","",C495*IFERROR(INDEX(Products!$E$2:$E$201,MATCH($B495,Products!$A$2:$A$201,0)),0))</f>
        <v/>
      </c>
      <c r="J495" s="17" t="str">
        <f aca="false">IF($B495="","",H495-I495)</f>
        <v/>
      </c>
      <c r="K495" s="16" t="str">
        <f aca="false">IF($A495="","",DATE(YEAR($A495),MONTH($A495),1))</f>
        <v/>
      </c>
    </row>
    <row r="496" customFormat="false" ht="15" hidden="false" customHeight="false" outlineLevel="0" collapsed="false">
      <c r="A496" s="25"/>
      <c r="B496" s="19"/>
      <c r="C496" s="19"/>
      <c r="D496" s="26"/>
      <c r="E496" s="27" t="str">
        <f aca="false">IF($B496="","",IFERROR(INDEX(Products!$B$2:$B$201,MATCH($B496,Products!$A$2:$A$201,0)),"Unknown code"))</f>
        <v/>
      </c>
      <c r="F496" s="22" t="str">
        <f aca="false">IF($B496="","",IFERROR(INDEX(Products!$C$2:$C$201,MATCH($B496,Products!$A$2:$A$201,0)),""))</f>
        <v/>
      </c>
      <c r="G496" s="17" t="str">
        <f aca="false">IF($B496="","",IFERROR(INDEX(Products!$D$2:$D$201,MATCH($B496,Products!$A$2:$A$201,0)),0))</f>
        <v/>
      </c>
      <c r="H496" s="17" t="str">
        <f aca="false">IF($B496="","",C496*G496*(1-D496))</f>
        <v/>
      </c>
      <c r="I496" s="17" t="str">
        <f aca="false">IF($B496="","",C496*IFERROR(INDEX(Products!$E$2:$E$201,MATCH($B496,Products!$A$2:$A$201,0)),0))</f>
        <v/>
      </c>
      <c r="J496" s="17" t="str">
        <f aca="false">IF($B496="","",H496-I496)</f>
        <v/>
      </c>
      <c r="K496" s="16" t="str">
        <f aca="false">IF($A496="","",DATE(YEAR($A496),MONTH($A496),1))</f>
        <v/>
      </c>
    </row>
    <row r="497" customFormat="false" ht="15" hidden="false" customHeight="false" outlineLevel="0" collapsed="false">
      <c r="A497" s="25"/>
      <c r="B497" s="19"/>
      <c r="C497" s="19"/>
      <c r="D497" s="26"/>
      <c r="E497" s="27" t="str">
        <f aca="false">IF($B497="","",IFERROR(INDEX(Products!$B$2:$B$201,MATCH($B497,Products!$A$2:$A$201,0)),"Unknown code"))</f>
        <v/>
      </c>
      <c r="F497" s="22" t="str">
        <f aca="false">IF($B497="","",IFERROR(INDEX(Products!$C$2:$C$201,MATCH($B497,Products!$A$2:$A$201,0)),""))</f>
        <v/>
      </c>
      <c r="G497" s="17" t="str">
        <f aca="false">IF($B497="","",IFERROR(INDEX(Products!$D$2:$D$201,MATCH($B497,Products!$A$2:$A$201,0)),0))</f>
        <v/>
      </c>
      <c r="H497" s="17" t="str">
        <f aca="false">IF($B497="","",C497*G497*(1-D497))</f>
        <v/>
      </c>
      <c r="I497" s="17" t="str">
        <f aca="false">IF($B497="","",C497*IFERROR(INDEX(Products!$E$2:$E$201,MATCH($B497,Products!$A$2:$A$201,0)),0))</f>
        <v/>
      </c>
      <c r="J497" s="17" t="str">
        <f aca="false">IF($B497="","",H497-I497)</f>
        <v/>
      </c>
      <c r="K497" s="16" t="str">
        <f aca="false">IF($A497="","",DATE(YEAR($A497),MONTH($A497),1))</f>
        <v/>
      </c>
    </row>
    <row r="498" customFormat="false" ht="15" hidden="false" customHeight="false" outlineLevel="0" collapsed="false">
      <c r="A498" s="25"/>
      <c r="B498" s="19"/>
      <c r="C498" s="19"/>
      <c r="D498" s="26"/>
      <c r="E498" s="27" t="str">
        <f aca="false">IF($B498="","",IFERROR(INDEX(Products!$B$2:$B$201,MATCH($B498,Products!$A$2:$A$201,0)),"Unknown code"))</f>
        <v/>
      </c>
      <c r="F498" s="22" t="str">
        <f aca="false">IF($B498="","",IFERROR(INDEX(Products!$C$2:$C$201,MATCH($B498,Products!$A$2:$A$201,0)),""))</f>
        <v/>
      </c>
      <c r="G498" s="17" t="str">
        <f aca="false">IF($B498="","",IFERROR(INDEX(Products!$D$2:$D$201,MATCH($B498,Products!$A$2:$A$201,0)),0))</f>
        <v/>
      </c>
      <c r="H498" s="17" t="str">
        <f aca="false">IF($B498="","",C498*G498*(1-D498))</f>
        <v/>
      </c>
      <c r="I498" s="17" t="str">
        <f aca="false">IF($B498="","",C498*IFERROR(INDEX(Products!$E$2:$E$201,MATCH($B498,Products!$A$2:$A$201,0)),0))</f>
        <v/>
      </c>
      <c r="J498" s="17" t="str">
        <f aca="false">IF($B498="","",H498-I498)</f>
        <v/>
      </c>
      <c r="K498" s="16" t="str">
        <f aca="false">IF($A498="","",DATE(YEAR($A498),MONTH($A498),1))</f>
        <v/>
      </c>
    </row>
    <row r="499" customFormat="false" ht="15" hidden="false" customHeight="false" outlineLevel="0" collapsed="false">
      <c r="A499" s="25"/>
      <c r="B499" s="19"/>
      <c r="C499" s="19"/>
      <c r="D499" s="26"/>
      <c r="E499" s="27" t="str">
        <f aca="false">IF($B499="","",IFERROR(INDEX(Products!$B$2:$B$201,MATCH($B499,Products!$A$2:$A$201,0)),"Unknown code"))</f>
        <v/>
      </c>
      <c r="F499" s="22" t="str">
        <f aca="false">IF($B499="","",IFERROR(INDEX(Products!$C$2:$C$201,MATCH($B499,Products!$A$2:$A$201,0)),""))</f>
        <v/>
      </c>
      <c r="G499" s="17" t="str">
        <f aca="false">IF($B499="","",IFERROR(INDEX(Products!$D$2:$D$201,MATCH($B499,Products!$A$2:$A$201,0)),0))</f>
        <v/>
      </c>
      <c r="H499" s="17" t="str">
        <f aca="false">IF($B499="","",C499*G499*(1-D499))</f>
        <v/>
      </c>
      <c r="I499" s="17" t="str">
        <f aca="false">IF($B499="","",C499*IFERROR(INDEX(Products!$E$2:$E$201,MATCH($B499,Products!$A$2:$A$201,0)),0))</f>
        <v/>
      </c>
      <c r="J499" s="17" t="str">
        <f aca="false">IF($B499="","",H499-I499)</f>
        <v/>
      </c>
      <c r="K499" s="16" t="str">
        <f aca="false">IF($A499="","",DATE(YEAR($A499),MONTH($A499),1))</f>
        <v/>
      </c>
    </row>
    <row r="500" customFormat="false" ht="15" hidden="false" customHeight="false" outlineLevel="0" collapsed="false">
      <c r="A500" s="25"/>
      <c r="B500" s="19"/>
      <c r="C500" s="19"/>
      <c r="D500" s="26"/>
      <c r="E500" s="27" t="str">
        <f aca="false">IF($B500="","",IFERROR(INDEX(Products!$B$2:$B$201,MATCH($B500,Products!$A$2:$A$201,0)),"Unknown code"))</f>
        <v/>
      </c>
      <c r="F500" s="22" t="str">
        <f aca="false">IF($B500="","",IFERROR(INDEX(Products!$C$2:$C$201,MATCH($B500,Products!$A$2:$A$201,0)),""))</f>
        <v/>
      </c>
      <c r="G500" s="17" t="str">
        <f aca="false">IF($B500="","",IFERROR(INDEX(Products!$D$2:$D$201,MATCH($B500,Products!$A$2:$A$201,0)),0))</f>
        <v/>
      </c>
      <c r="H500" s="17" t="str">
        <f aca="false">IF($B500="","",C500*G500*(1-D500))</f>
        <v/>
      </c>
      <c r="I500" s="17" t="str">
        <f aca="false">IF($B500="","",C500*IFERROR(INDEX(Products!$E$2:$E$201,MATCH($B500,Products!$A$2:$A$201,0)),0))</f>
        <v/>
      </c>
      <c r="J500" s="17" t="str">
        <f aca="false">IF($B500="","",H500-I500)</f>
        <v/>
      </c>
      <c r="K500" s="16" t="str">
        <f aca="false">IF($A500="","",DATE(YEAR($A500),MONTH($A500),1))</f>
        <v/>
      </c>
    </row>
    <row r="501" customFormat="false" ht="15" hidden="false" customHeight="false" outlineLevel="0" collapsed="false">
      <c r="A501" s="25"/>
      <c r="B501" s="19"/>
      <c r="C501" s="19"/>
      <c r="D501" s="26"/>
      <c r="E501" s="27" t="str">
        <f aca="false">IF($B501="","",IFERROR(INDEX(Products!$B$2:$B$201,MATCH($B501,Products!$A$2:$A$201,0)),"Unknown code"))</f>
        <v/>
      </c>
      <c r="F501" s="22" t="str">
        <f aca="false">IF($B501="","",IFERROR(INDEX(Products!$C$2:$C$201,MATCH($B501,Products!$A$2:$A$201,0)),""))</f>
        <v/>
      </c>
      <c r="G501" s="17" t="str">
        <f aca="false">IF($B501="","",IFERROR(INDEX(Products!$D$2:$D$201,MATCH($B501,Products!$A$2:$A$201,0)),0))</f>
        <v/>
      </c>
      <c r="H501" s="17" t="str">
        <f aca="false">IF($B501="","",C501*G501*(1-D501))</f>
        <v/>
      </c>
      <c r="I501" s="17" t="str">
        <f aca="false">IF($B501="","",C501*IFERROR(INDEX(Products!$E$2:$E$201,MATCH($B501,Products!$A$2:$A$201,0)),0))</f>
        <v/>
      </c>
      <c r="J501" s="17" t="str">
        <f aca="false">IF($B501="","",H501-I501)</f>
        <v/>
      </c>
      <c r="K501" s="16" t="str">
        <f aca="false">IF($A501="","",DATE(YEAR($A501),MONTH($A501),1))</f>
        <v/>
      </c>
    </row>
    <row r="502" customFormat="false" ht="15" hidden="false" customHeight="false" outlineLevel="0" collapsed="false">
      <c r="A502" s="25"/>
      <c r="B502" s="19"/>
      <c r="C502" s="19"/>
      <c r="D502" s="26"/>
      <c r="E502" s="27" t="str">
        <f aca="false">IF($B502="","",IFERROR(INDEX(Products!$B$2:$B$201,MATCH($B502,Products!$A$2:$A$201,0)),"Unknown code"))</f>
        <v/>
      </c>
      <c r="F502" s="22" t="str">
        <f aca="false">IF($B502="","",IFERROR(INDEX(Products!$C$2:$C$201,MATCH($B502,Products!$A$2:$A$201,0)),""))</f>
        <v/>
      </c>
      <c r="G502" s="17" t="str">
        <f aca="false">IF($B502="","",IFERROR(INDEX(Products!$D$2:$D$201,MATCH($B502,Products!$A$2:$A$201,0)),0))</f>
        <v/>
      </c>
      <c r="H502" s="17" t="str">
        <f aca="false">IF($B502="","",C502*G502*(1-D502))</f>
        <v/>
      </c>
      <c r="I502" s="17" t="str">
        <f aca="false">IF($B502="","",C502*IFERROR(INDEX(Products!$E$2:$E$201,MATCH($B502,Products!$A$2:$A$201,0)),0))</f>
        <v/>
      </c>
      <c r="J502" s="17" t="str">
        <f aca="false">IF($B502="","",H502-I502)</f>
        <v/>
      </c>
      <c r="K502" s="16" t="str">
        <f aca="false">IF($A502="","",DATE(YEAR($A502),MONTH($A502),1))</f>
        <v/>
      </c>
    </row>
    <row r="503" customFormat="false" ht="15" hidden="false" customHeight="false" outlineLevel="0" collapsed="false">
      <c r="A503" s="25"/>
      <c r="B503" s="19"/>
      <c r="C503" s="19"/>
      <c r="D503" s="26"/>
      <c r="E503" s="27" t="str">
        <f aca="false">IF($B503="","",IFERROR(INDEX(Products!$B$2:$B$201,MATCH($B503,Products!$A$2:$A$201,0)),"Unknown code"))</f>
        <v/>
      </c>
      <c r="F503" s="22" t="str">
        <f aca="false">IF($B503="","",IFERROR(INDEX(Products!$C$2:$C$201,MATCH($B503,Products!$A$2:$A$201,0)),""))</f>
        <v/>
      </c>
      <c r="G503" s="17" t="str">
        <f aca="false">IF($B503="","",IFERROR(INDEX(Products!$D$2:$D$201,MATCH($B503,Products!$A$2:$A$201,0)),0))</f>
        <v/>
      </c>
      <c r="H503" s="17" t="str">
        <f aca="false">IF($B503="","",C503*G503*(1-D503))</f>
        <v/>
      </c>
      <c r="I503" s="17" t="str">
        <f aca="false">IF($B503="","",C503*IFERROR(INDEX(Products!$E$2:$E$201,MATCH($B503,Products!$A$2:$A$201,0)),0))</f>
        <v/>
      </c>
      <c r="J503" s="17" t="str">
        <f aca="false">IF($B503="","",H503-I503)</f>
        <v/>
      </c>
      <c r="K503" s="16" t="str">
        <f aca="false">IF($A503="","",DATE(YEAR($A503),MONTH($A503),1))</f>
        <v/>
      </c>
    </row>
    <row r="504" customFormat="false" ht="15" hidden="false" customHeight="false" outlineLevel="0" collapsed="false">
      <c r="A504" s="25"/>
      <c r="B504" s="19"/>
      <c r="C504" s="19"/>
      <c r="D504" s="26"/>
      <c r="E504" s="27" t="str">
        <f aca="false">IF($B504="","",IFERROR(INDEX(Products!$B$2:$B$201,MATCH($B504,Products!$A$2:$A$201,0)),"Unknown code"))</f>
        <v/>
      </c>
      <c r="F504" s="22" t="str">
        <f aca="false">IF($B504="","",IFERROR(INDEX(Products!$C$2:$C$201,MATCH($B504,Products!$A$2:$A$201,0)),""))</f>
        <v/>
      </c>
      <c r="G504" s="17" t="str">
        <f aca="false">IF($B504="","",IFERROR(INDEX(Products!$D$2:$D$201,MATCH($B504,Products!$A$2:$A$201,0)),0))</f>
        <v/>
      </c>
      <c r="H504" s="17" t="str">
        <f aca="false">IF($B504="","",C504*G504*(1-D504))</f>
        <v/>
      </c>
      <c r="I504" s="17" t="str">
        <f aca="false">IF($B504="","",C504*IFERROR(INDEX(Products!$E$2:$E$201,MATCH($B504,Products!$A$2:$A$201,0)),0))</f>
        <v/>
      </c>
      <c r="J504" s="17" t="str">
        <f aca="false">IF($B504="","",H504-I504)</f>
        <v/>
      </c>
      <c r="K504" s="16" t="str">
        <f aca="false">IF($A504="","",DATE(YEAR($A504),MONTH($A504),1))</f>
        <v/>
      </c>
    </row>
    <row r="505" customFormat="false" ht="15" hidden="false" customHeight="false" outlineLevel="0" collapsed="false">
      <c r="A505" s="25"/>
      <c r="B505" s="19"/>
      <c r="C505" s="19"/>
      <c r="D505" s="26"/>
      <c r="E505" s="27" t="str">
        <f aca="false">IF($B505="","",IFERROR(INDEX(Products!$B$2:$B$201,MATCH($B505,Products!$A$2:$A$201,0)),"Unknown code"))</f>
        <v/>
      </c>
      <c r="F505" s="22" t="str">
        <f aca="false">IF($B505="","",IFERROR(INDEX(Products!$C$2:$C$201,MATCH($B505,Products!$A$2:$A$201,0)),""))</f>
        <v/>
      </c>
      <c r="G505" s="17" t="str">
        <f aca="false">IF($B505="","",IFERROR(INDEX(Products!$D$2:$D$201,MATCH($B505,Products!$A$2:$A$201,0)),0))</f>
        <v/>
      </c>
      <c r="H505" s="17" t="str">
        <f aca="false">IF($B505="","",C505*G505*(1-D505))</f>
        <v/>
      </c>
      <c r="I505" s="17" t="str">
        <f aca="false">IF($B505="","",C505*IFERROR(INDEX(Products!$E$2:$E$201,MATCH($B505,Products!$A$2:$A$201,0)),0))</f>
        <v/>
      </c>
      <c r="J505" s="17" t="str">
        <f aca="false">IF($B505="","",H505-I505)</f>
        <v/>
      </c>
      <c r="K505" s="16" t="str">
        <f aca="false">IF($A505="","",DATE(YEAR($A505),MONTH($A505),1))</f>
        <v/>
      </c>
    </row>
    <row r="506" customFormat="false" ht="15" hidden="false" customHeight="false" outlineLevel="0" collapsed="false">
      <c r="A506" s="25"/>
      <c r="B506" s="19"/>
      <c r="C506" s="19"/>
      <c r="D506" s="26"/>
      <c r="E506" s="27" t="str">
        <f aca="false">IF($B506="","",IFERROR(INDEX(Products!$B$2:$B$201,MATCH($B506,Products!$A$2:$A$201,0)),"Unknown code"))</f>
        <v/>
      </c>
      <c r="F506" s="22" t="str">
        <f aca="false">IF($B506="","",IFERROR(INDEX(Products!$C$2:$C$201,MATCH($B506,Products!$A$2:$A$201,0)),""))</f>
        <v/>
      </c>
      <c r="G506" s="17" t="str">
        <f aca="false">IF($B506="","",IFERROR(INDEX(Products!$D$2:$D$201,MATCH($B506,Products!$A$2:$A$201,0)),0))</f>
        <v/>
      </c>
      <c r="H506" s="17" t="str">
        <f aca="false">IF($B506="","",C506*G506*(1-D506))</f>
        <v/>
      </c>
      <c r="I506" s="17" t="str">
        <f aca="false">IF($B506="","",C506*IFERROR(INDEX(Products!$E$2:$E$201,MATCH($B506,Products!$A$2:$A$201,0)),0))</f>
        <v/>
      </c>
      <c r="J506" s="17" t="str">
        <f aca="false">IF($B506="","",H506-I506)</f>
        <v/>
      </c>
      <c r="K506" s="16" t="str">
        <f aca="false">IF($A506="","",DATE(YEAR($A506),MONTH($A506),1))</f>
        <v/>
      </c>
    </row>
    <row r="507" customFormat="false" ht="15" hidden="false" customHeight="false" outlineLevel="0" collapsed="false">
      <c r="A507" s="25"/>
      <c r="B507" s="19"/>
      <c r="C507" s="19"/>
      <c r="D507" s="26"/>
      <c r="E507" s="27" t="str">
        <f aca="false">IF($B507="","",IFERROR(INDEX(Products!$B$2:$B$201,MATCH($B507,Products!$A$2:$A$201,0)),"Unknown code"))</f>
        <v/>
      </c>
      <c r="F507" s="22" t="str">
        <f aca="false">IF($B507="","",IFERROR(INDEX(Products!$C$2:$C$201,MATCH($B507,Products!$A$2:$A$201,0)),""))</f>
        <v/>
      </c>
      <c r="G507" s="17" t="str">
        <f aca="false">IF($B507="","",IFERROR(INDEX(Products!$D$2:$D$201,MATCH($B507,Products!$A$2:$A$201,0)),0))</f>
        <v/>
      </c>
      <c r="H507" s="17" t="str">
        <f aca="false">IF($B507="","",C507*G507*(1-D507))</f>
        <v/>
      </c>
      <c r="I507" s="17" t="str">
        <f aca="false">IF($B507="","",C507*IFERROR(INDEX(Products!$E$2:$E$201,MATCH($B507,Products!$A$2:$A$201,0)),0))</f>
        <v/>
      </c>
      <c r="J507" s="17" t="str">
        <f aca="false">IF($B507="","",H507-I507)</f>
        <v/>
      </c>
      <c r="K507" s="16" t="str">
        <f aca="false">IF($A507="","",DATE(YEAR($A507),MONTH($A507),1))</f>
        <v/>
      </c>
    </row>
    <row r="508" customFormat="false" ht="15" hidden="false" customHeight="false" outlineLevel="0" collapsed="false">
      <c r="A508" s="25"/>
      <c r="B508" s="19"/>
      <c r="C508" s="19"/>
      <c r="D508" s="26"/>
      <c r="E508" s="27" t="str">
        <f aca="false">IF($B508="","",IFERROR(INDEX(Products!$B$2:$B$201,MATCH($B508,Products!$A$2:$A$201,0)),"Unknown code"))</f>
        <v/>
      </c>
      <c r="F508" s="22" t="str">
        <f aca="false">IF($B508="","",IFERROR(INDEX(Products!$C$2:$C$201,MATCH($B508,Products!$A$2:$A$201,0)),""))</f>
        <v/>
      </c>
      <c r="G508" s="17" t="str">
        <f aca="false">IF($B508="","",IFERROR(INDEX(Products!$D$2:$D$201,MATCH($B508,Products!$A$2:$A$201,0)),0))</f>
        <v/>
      </c>
      <c r="H508" s="17" t="str">
        <f aca="false">IF($B508="","",C508*G508*(1-D508))</f>
        <v/>
      </c>
      <c r="I508" s="17" t="str">
        <f aca="false">IF($B508="","",C508*IFERROR(INDEX(Products!$E$2:$E$201,MATCH($B508,Products!$A$2:$A$201,0)),0))</f>
        <v/>
      </c>
      <c r="J508" s="17" t="str">
        <f aca="false">IF($B508="","",H508-I508)</f>
        <v/>
      </c>
      <c r="K508" s="16" t="str">
        <f aca="false">IF($A508="","",DATE(YEAR($A508),MONTH($A508),1))</f>
        <v/>
      </c>
    </row>
    <row r="509" customFormat="false" ht="15" hidden="false" customHeight="false" outlineLevel="0" collapsed="false">
      <c r="A509" s="25"/>
      <c r="B509" s="19"/>
      <c r="C509" s="19"/>
      <c r="D509" s="26"/>
      <c r="E509" s="27" t="str">
        <f aca="false">IF($B509="","",IFERROR(INDEX(Products!$B$2:$B$201,MATCH($B509,Products!$A$2:$A$201,0)),"Unknown code"))</f>
        <v/>
      </c>
      <c r="F509" s="22" t="str">
        <f aca="false">IF($B509="","",IFERROR(INDEX(Products!$C$2:$C$201,MATCH($B509,Products!$A$2:$A$201,0)),""))</f>
        <v/>
      </c>
      <c r="G509" s="17" t="str">
        <f aca="false">IF($B509="","",IFERROR(INDEX(Products!$D$2:$D$201,MATCH($B509,Products!$A$2:$A$201,0)),0))</f>
        <v/>
      </c>
      <c r="H509" s="17" t="str">
        <f aca="false">IF($B509="","",C509*G509*(1-D509))</f>
        <v/>
      </c>
      <c r="I509" s="17" t="str">
        <f aca="false">IF($B509="","",C509*IFERROR(INDEX(Products!$E$2:$E$201,MATCH($B509,Products!$A$2:$A$201,0)),0))</f>
        <v/>
      </c>
      <c r="J509" s="17" t="str">
        <f aca="false">IF($B509="","",H509-I509)</f>
        <v/>
      </c>
      <c r="K509" s="16" t="str">
        <f aca="false">IF($A509="","",DATE(YEAR($A509),MONTH($A509),1))</f>
        <v/>
      </c>
    </row>
    <row r="510" customFormat="false" ht="15" hidden="false" customHeight="false" outlineLevel="0" collapsed="false">
      <c r="A510" s="25"/>
      <c r="B510" s="19"/>
      <c r="C510" s="19"/>
      <c r="D510" s="26"/>
      <c r="E510" s="27" t="str">
        <f aca="false">IF($B510="","",IFERROR(INDEX(Products!$B$2:$B$201,MATCH($B510,Products!$A$2:$A$201,0)),"Unknown code"))</f>
        <v/>
      </c>
      <c r="F510" s="22" t="str">
        <f aca="false">IF($B510="","",IFERROR(INDEX(Products!$C$2:$C$201,MATCH($B510,Products!$A$2:$A$201,0)),""))</f>
        <v/>
      </c>
      <c r="G510" s="17" t="str">
        <f aca="false">IF($B510="","",IFERROR(INDEX(Products!$D$2:$D$201,MATCH($B510,Products!$A$2:$A$201,0)),0))</f>
        <v/>
      </c>
      <c r="H510" s="17" t="str">
        <f aca="false">IF($B510="","",C510*G510*(1-D510))</f>
        <v/>
      </c>
      <c r="I510" s="17" t="str">
        <f aca="false">IF($B510="","",C510*IFERROR(INDEX(Products!$E$2:$E$201,MATCH($B510,Products!$A$2:$A$201,0)),0))</f>
        <v/>
      </c>
      <c r="J510" s="17" t="str">
        <f aca="false">IF($B510="","",H510-I510)</f>
        <v/>
      </c>
      <c r="K510" s="16" t="str">
        <f aca="false">IF($A510="","",DATE(YEAR($A510),MONTH($A510),1))</f>
        <v/>
      </c>
    </row>
    <row r="511" customFormat="false" ht="15" hidden="false" customHeight="false" outlineLevel="0" collapsed="false">
      <c r="A511" s="25"/>
      <c r="B511" s="19"/>
      <c r="C511" s="19"/>
      <c r="D511" s="26"/>
      <c r="E511" s="27" t="str">
        <f aca="false">IF($B511="","",IFERROR(INDEX(Products!$B$2:$B$201,MATCH($B511,Products!$A$2:$A$201,0)),"Unknown code"))</f>
        <v/>
      </c>
      <c r="F511" s="22" t="str">
        <f aca="false">IF($B511="","",IFERROR(INDEX(Products!$C$2:$C$201,MATCH($B511,Products!$A$2:$A$201,0)),""))</f>
        <v/>
      </c>
      <c r="G511" s="17" t="str">
        <f aca="false">IF($B511="","",IFERROR(INDEX(Products!$D$2:$D$201,MATCH($B511,Products!$A$2:$A$201,0)),0))</f>
        <v/>
      </c>
      <c r="H511" s="17" t="str">
        <f aca="false">IF($B511="","",C511*G511*(1-D511))</f>
        <v/>
      </c>
      <c r="I511" s="17" t="str">
        <f aca="false">IF($B511="","",C511*IFERROR(INDEX(Products!$E$2:$E$201,MATCH($B511,Products!$A$2:$A$201,0)),0))</f>
        <v/>
      </c>
      <c r="J511" s="17" t="str">
        <f aca="false">IF($B511="","",H511-I511)</f>
        <v/>
      </c>
      <c r="K511" s="16" t="str">
        <f aca="false">IF($A511="","",DATE(YEAR($A511),MONTH($A511),1))</f>
        <v/>
      </c>
    </row>
    <row r="512" customFormat="false" ht="15" hidden="false" customHeight="false" outlineLevel="0" collapsed="false">
      <c r="A512" s="25"/>
      <c r="B512" s="19"/>
      <c r="C512" s="19"/>
      <c r="D512" s="26"/>
      <c r="E512" s="27" t="str">
        <f aca="false">IF($B512="","",IFERROR(INDEX(Products!$B$2:$B$201,MATCH($B512,Products!$A$2:$A$201,0)),"Unknown code"))</f>
        <v/>
      </c>
      <c r="F512" s="22" t="str">
        <f aca="false">IF($B512="","",IFERROR(INDEX(Products!$C$2:$C$201,MATCH($B512,Products!$A$2:$A$201,0)),""))</f>
        <v/>
      </c>
      <c r="G512" s="17" t="str">
        <f aca="false">IF($B512="","",IFERROR(INDEX(Products!$D$2:$D$201,MATCH($B512,Products!$A$2:$A$201,0)),0))</f>
        <v/>
      </c>
      <c r="H512" s="17" t="str">
        <f aca="false">IF($B512="","",C512*G512*(1-D512))</f>
        <v/>
      </c>
      <c r="I512" s="17" t="str">
        <f aca="false">IF($B512="","",C512*IFERROR(INDEX(Products!$E$2:$E$201,MATCH($B512,Products!$A$2:$A$201,0)),0))</f>
        <v/>
      </c>
      <c r="J512" s="17" t="str">
        <f aca="false">IF($B512="","",H512-I512)</f>
        <v/>
      </c>
      <c r="K512" s="16" t="str">
        <f aca="false">IF($A512="","",DATE(YEAR($A512),MONTH($A512),1))</f>
        <v/>
      </c>
    </row>
    <row r="513" customFormat="false" ht="15" hidden="false" customHeight="false" outlineLevel="0" collapsed="false">
      <c r="A513" s="25"/>
      <c r="B513" s="19"/>
      <c r="C513" s="19"/>
      <c r="D513" s="26"/>
      <c r="E513" s="27" t="str">
        <f aca="false">IF($B513="","",IFERROR(INDEX(Products!$B$2:$B$201,MATCH($B513,Products!$A$2:$A$201,0)),"Unknown code"))</f>
        <v/>
      </c>
      <c r="F513" s="22" t="str">
        <f aca="false">IF($B513="","",IFERROR(INDEX(Products!$C$2:$C$201,MATCH($B513,Products!$A$2:$A$201,0)),""))</f>
        <v/>
      </c>
      <c r="G513" s="17" t="str">
        <f aca="false">IF($B513="","",IFERROR(INDEX(Products!$D$2:$D$201,MATCH($B513,Products!$A$2:$A$201,0)),0))</f>
        <v/>
      </c>
      <c r="H513" s="17" t="str">
        <f aca="false">IF($B513="","",C513*G513*(1-D513))</f>
        <v/>
      </c>
      <c r="I513" s="17" t="str">
        <f aca="false">IF($B513="","",C513*IFERROR(INDEX(Products!$E$2:$E$201,MATCH($B513,Products!$A$2:$A$201,0)),0))</f>
        <v/>
      </c>
      <c r="J513" s="17" t="str">
        <f aca="false">IF($B513="","",H513-I513)</f>
        <v/>
      </c>
      <c r="K513" s="16" t="str">
        <f aca="false">IF($A513="","",DATE(YEAR($A513),MONTH($A513),1))</f>
        <v/>
      </c>
    </row>
    <row r="514" customFormat="false" ht="15" hidden="false" customHeight="false" outlineLevel="0" collapsed="false">
      <c r="A514" s="25"/>
      <c r="B514" s="19"/>
      <c r="C514" s="19"/>
      <c r="D514" s="26"/>
      <c r="E514" s="27" t="str">
        <f aca="false">IF($B514="","",IFERROR(INDEX(Products!$B$2:$B$201,MATCH($B514,Products!$A$2:$A$201,0)),"Unknown code"))</f>
        <v/>
      </c>
      <c r="F514" s="22" t="str">
        <f aca="false">IF($B514="","",IFERROR(INDEX(Products!$C$2:$C$201,MATCH($B514,Products!$A$2:$A$201,0)),""))</f>
        <v/>
      </c>
      <c r="G514" s="17" t="str">
        <f aca="false">IF($B514="","",IFERROR(INDEX(Products!$D$2:$D$201,MATCH($B514,Products!$A$2:$A$201,0)),0))</f>
        <v/>
      </c>
      <c r="H514" s="17" t="str">
        <f aca="false">IF($B514="","",C514*G514*(1-D514))</f>
        <v/>
      </c>
      <c r="I514" s="17" t="str">
        <f aca="false">IF($B514="","",C514*IFERROR(INDEX(Products!$E$2:$E$201,MATCH($B514,Products!$A$2:$A$201,0)),0))</f>
        <v/>
      </c>
      <c r="J514" s="17" t="str">
        <f aca="false">IF($B514="","",H514-I514)</f>
        <v/>
      </c>
      <c r="K514" s="16" t="str">
        <f aca="false">IF($A514="","",DATE(YEAR($A514),MONTH($A514),1))</f>
        <v/>
      </c>
    </row>
    <row r="515" customFormat="false" ht="15" hidden="false" customHeight="false" outlineLevel="0" collapsed="false">
      <c r="A515" s="25"/>
      <c r="B515" s="19"/>
      <c r="C515" s="19"/>
      <c r="D515" s="26"/>
      <c r="E515" s="27" t="str">
        <f aca="false">IF($B515="","",IFERROR(INDEX(Products!$B$2:$B$201,MATCH($B515,Products!$A$2:$A$201,0)),"Unknown code"))</f>
        <v/>
      </c>
      <c r="F515" s="22" t="str">
        <f aca="false">IF($B515="","",IFERROR(INDEX(Products!$C$2:$C$201,MATCH($B515,Products!$A$2:$A$201,0)),""))</f>
        <v/>
      </c>
      <c r="G515" s="17" t="str">
        <f aca="false">IF($B515="","",IFERROR(INDEX(Products!$D$2:$D$201,MATCH($B515,Products!$A$2:$A$201,0)),0))</f>
        <v/>
      </c>
      <c r="H515" s="17" t="str">
        <f aca="false">IF($B515="","",C515*G515*(1-D515))</f>
        <v/>
      </c>
      <c r="I515" s="17" t="str">
        <f aca="false">IF($B515="","",C515*IFERROR(INDEX(Products!$E$2:$E$201,MATCH($B515,Products!$A$2:$A$201,0)),0))</f>
        <v/>
      </c>
      <c r="J515" s="17" t="str">
        <f aca="false">IF($B515="","",H515-I515)</f>
        <v/>
      </c>
      <c r="K515" s="16" t="str">
        <f aca="false">IF($A515="","",DATE(YEAR($A515),MONTH($A515),1))</f>
        <v/>
      </c>
    </row>
    <row r="516" customFormat="false" ht="15" hidden="false" customHeight="false" outlineLevel="0" collapsed="false">
      <c r="A516" s="25"/>
      <c r="B516" s="19"/>
      <c r="C516" s="19"/>
      <c r="D516" s="26"/>
      <c r="E516" s="27" t="str">
        <f aca="false">IF($B516="","",IFERROR(INDEX(Products!$B$2:$B$201,MATCH($B516,Products!$A$2:$A$201,0)),"Unknown code"))</f>
        <v/>
      </c>
      <c r="F516" s="22" t="str">
        <f aca="false">IF($B516="","",IFERROR(INDEX(Products!$C$2:$C$201,MATCH($B516,Products!$A$2:$A$201,0)),""))</f>
        <v/>
      </c>
      <c r="G516" s="17" t="str">
        <f aca="false">IF($B516="","",IFERROR(INDEX(Products!$D$2:$D$201,MATCH($B516,Products!$A$2:$A$201,0)),0))</f>
        <v/>
      </c>
      <c r="H516" s="17" t="str">
        <f aca="false">IF($B516="","",C516*G516*(1-D516))</f>
        <v/>
      </c>
      <c r="I516" s="17" t="str">
        <f aca="false">IF($B516="","",C516*IFERROR(INDEX(Products!$E$2:$E$201,MATCH($B516,Products!$A$2:$A$201,0)),0))</f>
        <v/>
      </c>
      <c r="J516" s="17" t="str">
        <f aca="false">IF($B516="","",H516-I516)</f>
        <v/>
      </c>
      <c r="K516" s="16" t="str">
        <f aca="false">IF($A516="","",DATE(YEAR($A516),MONTH($A516),1))</f>
        <v/>
      </c>
    </row>
    <row r="517" customFormat="false" ht="15" hidden="false" customHeight="false" outlineLevel="0" collapsed="false">
      <c r="A517" s="25"/>
      <c r="B517" s="19"/>
      <c r="C517" s="19"/>
      <c r="D517" s="26"/>
      <c r="E517" s="27" t="str">
        <f aca="false">IF($B517="","",IFERROR(INDEX(Products!$B$2:$B$201,MATCH($B517,Products!$A$2:$A$201,0)),"Unknown code"))</f>
        <v/>
      </c>
      <c r="F517" s="22" t="str">
        <f aca="false">IF($B517="","",IFERROR(INDEX(Products!$C$2:$C$201,MATCH($B517,Products!$A$2:$A$201,0)),""))</f>
        <v/>
      </c>
      <c r="G517" s="17" t="str">
        <f aca="false">IF($B517="","",IFERROR(INDEX(Products!$D$2:$D$201,MATCH($B517,Products!$A$2:$A$201,0)),0))</f>
        <v/>
      </c>
      <c r="H517" s="17" t="str">
        <f aca="false">IF($B517="","",C517*G517*(1-D517))</f>
        <v/>
      </c>
      <c r="I517" s="17" t="str">
        <f aca="false">IF($B517="","",C517*IFERROR(INDEX(Products!$E$2:$E$201,MATCH($B517,Products!$A$2:$A$201,0)),0))</f>
        <v/>
      </c>
      <c r="J517" s="17" t="str">
        <f aca="false">IF($B517="","",H517-I517)</f>
        <v/>
      </c>
      <c r="K517" s="16" t="str">
        <f aca="false">IF($A517="","",DATE(YEAR($A517),MONTH($A517),1))</f>
        <v/>
      </c>
    </row>
    <row r="518" customFormat="false" ht="15" hidden="false" customHeight="false" outlineLevel="0" collapsed="false">
      <c r="A518" s="25"/>
      <c r="B518" s="19"/>
      <c r="C518" s="19"/>
      <c r="D518" s="26"/>
      <c r="E518" s="27" t="str">
        <f aca="false">IF($B518="","",IFERROR(INDEX(Products!$B$2:$B$201,MATCH($B518,Products!$A$2:$A$201,0)),"Unknown code"))</f>
        <v/>
      </c>
      <c r="F518" s="22" t="str">
        <f aca="false">IF($B518="","",IFERROR(INDEX(Products!$C$2:$C$201,MATCH($B518,Products!$A$2:$A$201,0)),""))</f>
        <v/>
      </c>
      <c r="G518" s="17" t="str">
        <f aca="false">IF($B518="","",IFERROR(INDEX(Products!$D$2:$D$201,MATCH($B518,Products!$A$2:$A$201,0)),0))</f>
        <v/>
      </c>
      <c r="H518" s="17" t="str">
        <f aca="false">IF($B518="","",C518*G518*(1-D518))</f>
        <v/>
      </c>
      <c r="I518" s="17" t="str">
        <f aca="false">IF($B518="","",C518*IFERROR(INDEX(Products!$E$2:$E$201,MATCH($B518,Products!$A$2:$A$201,0)),0))</f>
        <v/>
      </c>
      <c r="J518" s="17" t="str">
        <f aca="false">IF($B518="","",H518-I518)</f>
        <v/>
      </c>
      <c r="K518" s="16" t="str">
        <f aca="false">IF($A518="","",DATE(YEAR($A518),MONTH($A518),1))</f>
        <v/>
      </c>
    </row>
    <row r="519" customFormat="false" ht="15" hidden="false" customHeight="false" outlineLevel="0" collapsed="false">
      <c r="A519" s="25"/>
      <c r="B519" s="19"/>
      <c r="C519" s="19"/>
      <c r="D519" s="26"/>
      <c r="E519" s="27" t="str">
        <f aca="false">IF($B519="","",IFERROR(INDEX(Products!$B$2:$B$201,MATCH($B519,Products!$A$2:$A$201,0)),"Unknown code"))</f>
        <v/>
      </c>
      <c r="F519" s="22" t="str">
        <f aca="false">IF($B519="","",IFERROR(INDEX(Products!$C$2:$C$201,MATCH($B519,Products!$A$2:$A$201,0)),""))</f>
        <v/>
      </c>
      <c r="G519" s="17" t="str">
        <f aca="false">IF($B519="","",IFERROR(INDEX(Products!$D$2:$D$201,MATCH($B519,Products!$A$2:$A$201,0)),0))</f>
        <v/>
      </c>
      <c r="H519" s="17" t="str">
        <f aca="false">IF($B519="","",C519*G519*(1-D519))</f>
        <v/>
      </c>
      <c r="I519" s="17" t="str">
        <f aca="false">IF($B519="","",C519*IFERROR(INDEX(Products!$E$2:$E$201,MATCH($B519,Products!$A$2:$A$201,0)),0))</f>
        <v/>
      </c>
      <c r="J519" s="17" t="str">
        <f aca="false">IF($B519="","",H519-I519)</f>
        <v/>
      </c>
      <c r="K519" s="16" t="str">
        <f aca="false">IF($A519="","",DATE(YEAR($A519),MONTH($A519),1))</f>
        <v/>
      </c>
    </row>
    <row r="520" customFormat="false" ht="15" hidden="false" customHeight="false" outlineLevel="0" collapsed="false">
      <c r="A520" s="25"/>
      <c r="B520" s="19"/>
      <c r="C520" s="19"/>
      <c r="D520" s="26"/>
      <c r="E520" s="27" t="str">
        <f aca="false">IF($B520="","",IFERROR(INDEX(Products!$B$2:$B$201,MATCH($B520,Products!$A$2:$A$201,0)),"Unknown code"))</f>
        <v/>
      </c>
      <c r="F520" s="22" t="str">
        <f aca="false">IF($B520="","",IFERROR(INDEX(Products!$C$2:$C$201,MATCH($B520,Products!$A$2:$A$201,0)),""))</f>
        <v/>
      </c>
      <c r="G520" s="17" t="str">
        <f aca="false">IF($B520="","",IFERROR(INDEX(Products!$D$2:$D$201,MATCH($B520,Products!$A$2:$A$201,0)),0))</f>
        <v/>
      </c>
      <c r="H520" s="17" t="str">
        <f aca="false">IF($B520="","",C520*G520*(1-D520))</f>
        <v/>
      </c>
      <c r="I520" s="17" t="str">
        <f aca="false">IF($B520="","",C520*IFERROR(INDEX(Products!$E$2:$E$201,MATCH($B520,Products!$A$2:$A$201,0)),0))</f>
        <v/>
      </c>
      <c r="J520" s="17" t="str">
        <f aca="false">IF($B520="","",H520-I520)</f>
        <v/>
      </c>
      <c r="K520" s="16" t="str">
        <f aca="false">IF($A520="","",DATE(YEAR($A520),MONTH($A520),1))</f>
        <v/>
      </c>
    </row>
    <row r="521" customFormat="false" ht="15" hidden="false" customHeight="false" outlineLevel="0" collapsed="false">
      <c r="A521" s="25"/>
      <c r="B521" s="19"/>
      <c r="C521" s="19"/>
      <c r="D521" s="26"/>
      <c r="E521" s="27" t="str">
        <f aca="false">IF($B521="","",IFERROR(INDEX(Products!$B$2:$B$201,MATCH($B521,Products!$A$2:$A$201,0)),"Unknown code"))</f>
        <v/>
      </c>
      <c r="F521" s="22" t="str">
        <f aca="false">IF($B521="","",IFERROR(INDEX(Products!$C$2:$C$201,MATCH($B521,Products!$A$2:$A$201,0)),""))</f>
        <v/>
      </c>
      <c r="G521" s="17" t="str">
        <f aca="false">IF($B521="","",IFERROR(INDEX(Products!$D$2:$D$201,MATCH($B521,Products!$A$2:$A$201,0)),0))</f>
        <v/>
      </c>
      <c r="H521" s="17" t="str">
        <f aca="false">IF($B521="","",C521*G521*(1-D521))</f>
        <v/>
      </c>
      <c r="I521" s="17" t="str">
        <f aca="false">IF($B521="","",C521*IFERROR(INDEX(Products!$E$2:$E$201,MATCH($B521,Products!$A$2:$A$201,0)),0))</f>
        <v/>
      </c>
      <c r="J521" s="17" t="str">
        <f aca="false">IF($B521="","",H521-I521)</f>
        <v/>
      </c>
      <c r="K521" s="16" t="str">
        <f aca="false">IF($A521="","",DATE(YEAR($A521),MONTH($A521),1))</f>
        <v/>
      </c>
    </row>
    <row r="522" customFormat="false" ht="15" hidden="false" customHeight="false" outlineLevel="0" collapsed="false">
      <c r="A522" s="25"/>
      <c r="B522" s="19"/>
      <c r="C522" s="19"/>
      <c r="D522" s="26"/>
      <c r="E522" s="27" t="str">
        <f aca="false">IF($B522="","",IFERROR(INDEX(Products!$B$2:$B$201,MATCH($B522,Products!$A$2:$A$201,0)),"Unknown code"))</f>
        <v/>
      </c>
      <c r="F522" s="22" t="str">
        <f aca="false">IF($B522="","",IFERROR(INDEX(Products!$C$2:$C$201,MATCH($B522,Products!$A$2:$A$201,0)),""))</f>
        <v/>
      </c>
      <c r="G522" s="17" t="str">
        <f aca="false">IF($B522="","",IFERROR(INDEX(Products!$D$2:$D$201,MATCH($B522,Products!$A$2:$A$201,0)),0))</f>
        <v/>
      </c>
      <c r="H522" s="17" t="str">
        <f aca="false">IF($B522="","",C522*G522*(1-D522))</f>
        <v/>
      </c>
      <c r="I522" s="17" t="str">
        <f aca="false">IF($B522="","",C522*IFERROR(INDEX(Products!$E$2:$E$201,MATCH($B522,Products!$A$2:$A$201,0)),0))</f>
        <v/>
      </c>
      <c r="J522" s="17" t="str">
        <f aca="false">IF($B522="","",H522-I522)</f>
        <v/>
      </c>
      <c r="K522" s="16" t="str">
        <f aca="false">IF($A522="","",DATE(YEAR($A522),MONTH($A522),1))</f>
        <v/>
      </c>
    </row>
    <row r="523" customFormat="false" ht="15" hidden="false" customHeight="false" outlineLevel="0" collapsed="false">
      <c r="A523" s="25"/>
      <c r="B523" s="19"/>
      <c r="C523" s="19"/>
      <c r="D523" s="26"/>
      <c r="E523" s="27" t="str">
        <f aca="false">IF($B523="","",IFERROR(INDEX(Products!$B$2:$B$201,MATCH($B523,Products!$A$2:$A$201,0)),"Unknown code"))</f>
        <v/>
      </c>
      <c r="F523" s="22" t="str">
        <f aca="false">IF($B523="","",IFERROR(INDEX(Products!$C$2:$C$201,MATCH($B523,Products!$A$2:$A$201,0)),""))</f>
        <v/>
      </c>
      <c r="G523" s="17" t="str">
        <f aca="false">IF($B523="","",IFERROR(INDEX(Products!$D$2:$D$201,MATCH($B523,Products!$A$2:$A$201,0)),0))</f>
        <v/>
      </c>
      <c r="H523" s="17" t="str">
        <f aca="false">IF($B523="","",C523*G523*(1-D523))</f>
        <v/>
      </c>
      <c r="I523" s="17" t="str">
        <f aca="false">IF($B523="","",C523*IFERROR(INDEX(Products!$E$2:$E$201,MATCH($B523,Products!$A$2:$A$201,0)),0))</f>
        <v/>
      </c>
      <c r="J523" s="17" t="str">
        <f aca="false">IF($B523="","",H523-I523)</f>
        <v/>
      </c>
      <c r="K523" s="16" t="str">
        <f aca="false">IF($A523="","",DATE(YEAR($A523),MONTH($A523),1))</f>
        <v/>
      </c>
    </row>
    <row r="524" customFormat="false" ht="15" hidden="false" customHeight="false" outlineLevel="0" collapsed="false">
      <c r="A524" s="25"/>
      <c r="B524" s="19"/>
      <c r="C524" s="19"/>
      <c r="D524" s="26"/>
      <c r="E524" s="27" t="str">
        <f aca="false">IF($B524="","",IFERROR(INDEX(Products!$B$2:$B$201,MATCH($B524,Products!$A$2:$A$201,0)),"Unknown code"))</f>
        <v/>
      </c>
      <c r="F524" s="22" t="str">
        <f aca="false">IF($B524="","",IFERROR(INDEX(Products!$C$2:$C$201,MATCH($B524,Products!$A$2:$A$201,0)),""))</f>
        <v/>
      </c>
      <c r="G524" s="17" t="str">
        <f aca="false">IF($B524="","",IFERROR(INDEX(Products!$D$2:$D$201,MATCH($B524,Products!$A$2:$A$201,0)),0))</f>
        <v/>
      </c>
      <c r="H524" s="17" t="str">
        <f aca="false">IF($B524="","",C524*G524*(1-D524))</f>
        <v/>
      </c>
      <c r="I524" s="17" t="str">
        <f aca="false">IF($B524="","",C524*IFERROR(INDEX(Products!$E$2:$E$201,MATCH($B524,Products!$A$2:$A$201,0)),0))</f>
        <v/>
      </c>
      <c r="J524" s="17" t="str">
        <f aca="false">IF($B524="","",H524-I524)</f>
        <v/>
      </c>
      <c r="K524" s="16" t="str">
        <f aca="false">IF($A524="","",DATE(YEAR($A524),MONTH($A524),1))</f>
        <v/>
      </c>
    </row>
    <row r="525" customFormat="false" ht="15" hidden="false" customHeight="false" outlineLevel="0" collapsed="false">
      <c r="A525" s="25"/>
      <c r="B525" s="19"/>
      <c r="C525" s="19"/>
      <c r="D525" s="26"/>
      <c r="E525" s="27" t="str">
        <f aca="false">IF($B525="","",IFERROR(INDEX(Products!$B$2:$B$201,MATCH($B525,Products!$A$2:$A$201,0)),"Unknown code"))</f>
        <v/>
      </c>
      <c r="F525" s="22" t="str">
        <f aca="false">IF($B525="","",IFERROR(INDEX(Products!$C$2:$C$201,MATCH($B525,Products!$A$2:$A$201,0)),""))</f>
        <v/>
      </c>
      <c r="G525" s="17" t="str">
        <f aca="false">IF($B525="","",IFERROR(INDEX(Products!$D$2:$D$201,MATCH($B525,Products!$A$2:$A$201,0)),0))</f>
        <v/>
      </c>
      <c r="H525" s="17" t="str">
        <f aca="false">IF($B525="","",C525*G525*(1-D525))</f>
        <v/>
      </c>
      <c r="I525" s="17" t="str">
        <f aca="false">IF($B525="","",C525*IFERROR(INDEX(Products!$E$2:$E$201,MATCH($B525,Products!$A$2:$A$201,0)),0))</f>
        <v/>
      </c>
      <c r="J525" s="17" t="str">
        <f aca="false">IF($B525="","",H525-I525)</f>
        <v/>
      </c>
      <c r="K525" s="16" t="str">
        <f aca="false">IF($A525="","",DATE(YEAR($A525),MONTH($A525),1))</f>
        <v/>
      </c>
    </row>
    <row r="526" customFormat="false" ht="15" hidden="false" customHeight="false" outlineLevel="0" collapsed="false">
      <c r="A526" s="25"/>
      <c r="B526" s="19"/>
      <c r="C526" s="19"/>
      <c r="D526" s="26"/>
      <c r="E526" s="27" t="str">
        <f aca="false">IF($B526="","",IFERROR(INDEX(Products!$B$2:$B$201,MATCH($B526,Products!$A$2:$A$201,0)),"Unknown code"))</f>
        <v/>
      </c>
      <c r="F526" s="22" t="str">
        <f aca="false">IF($B526="","",IFERROR(INDEX(Products!$C$2:$C$201,MATCH($B526,Products!$A$2:$A$201,0)),""))</f>
        <v/>
      </c>
      <c r="G526" s="17" t="str">
        <f aca="false">IF($B526="","",IFERROR(INDEX(Products!$D$2:$D$201,MATCH($B526,Products!$A$2:$A$201,0)),0))</f>
        <v/>
      </c>
      <c r="H526" s="17" t="str">
        <f aca="false">IF($B526="","",C526*G526*(1-D526))</f>
        <v/>
      </c>
      <c r="I526" s="17" t="str">
        <f aca="false">IF($B526="","",C526*IFERROR(INDEX(Products!$E$2:$E$201,MATCH($B526,Products!$A$2:$A$201,0)),0))</f>
        <v/>
      </c>
      <c r="J526" s="17" t="str">
        <f aca="false">IF($B526="","",H526-I526)</f>
        <v/>
      </c>
      <c r="K526" s="16" t="str">
        <f aca="false">IF($A526="","",DATE(YEAR($A526),MONTH($A526),1))</f>
        <v/>
      </c>
    </row>
    <row r="527" customFormat="false" ht="15" hidden="false" customHeight="false" outlineLevel="0" collapsed="false">
      <c r="A527" s="25"/>
      <c r="B527" s="19"/>
      <c r="C527" s="19"/>
      <c r="D527" s="26"/>
      <c r="E527" s="27" t="str">
        <f aca="false">IF($B527="","",IFERROR(INDEX(Products!$B$2:$B$201,MATCH($B527,Products!$A$2:$A$201,0)),"Unknown code"))</f>
        <v/>
      </c>
      <c r="F527" s="22" t="str">
        <f aca="false">IF($B527="","",IFERROR(INDEX(Products!$C$2:$C$201,MATCH($B527,Products!$A$2:$A$201,0)),""))</f>
        <v/>
      </c>
      <c r="G527" s="17" t="str">
        <f aca="false">IF($B527="","",IFERROR(INDEX(Products!$D$2:$D$201,MATCH($B527,Products!$A$2:$A$201,0)),0))</f>
        <v/>
      </c>
      <c r="H527" s="17" t="str">
        <f aca="false">IF($B527="","",C527*G527*(1-D527))</f>
        <v/>
      </c>
      <c r="I527" s="17" t="str">
        <f aca="false">IF($B527="","",C527*IFERROR(INDEX(Products!$E$2:$E$201,MATCH($B527,Products!$A$2:$A$201,0)),0))</f>
        <v/>
      </c>
      <c r="J527" s="17" t="str">
        <f aca="false">IF($B527="","",H527-I527)</f>
        <v/>
      </c>
      <c r="K527" s="16" t="str">
        <f aca="false">IF($A527="","",DATE(YEAR($A527),MONTH($A527),1))</f>
        <v/>
      </c>
    </row>
    <row r="528" customFormat="false" ht="15" hidden="false" customHeight="false" outlineLevel="0" collapsed="false">
      <c r="A528" s="25"/>
      <c r="B528" s="19"/>
      <c r="C528" s="19"/>
      <c r="D528" s="26"/>
      <c r="E528" s="27" t="str">
        <f aca="false">IF($B528="","",IFERROR(INDEX(Products!$B$2:$B$201,MATCH($B528,Products!$A$2:$A$201,0)),"Unknown code"))</f>
        <v/>
      </c>
      <c r="F528" s="22" t="str">
        <f aca="false">IF($B528="","",IFERROR(INDEX(Products!$C$2:$C$201,MATCH($B528,Products!$A$2:$A$201,0)),""))</f>
        <v/>
      </c>
      <c r="G528" s="17" t="str">
        <f aca="false">IF($B528="","",IFERROR(INDEX(Products!$D$2:$D$201,MATCH($B528,Products!$A$2:$A$201,0)),0))</f>
        <v/>
      </c>
      <c r="H528" s="17" t="str">
        <f aca="false">IF($B528="","",C528*G528*(1-D528))</f>
        <v/>
      </c>
      <c r="I528" s="17" t="str">
        <f aca="false">IF($B528="","",C528*IFERROR(INDEX(Products!$E$2:$E$201,MATCH($B528,Products!$A$2:$A$201,0)),0))</f>
        <v/>
      </c>
      <c r="J528" s="17" t="str">
        <f aca="false">IF($B528="","",H528-I528)</f>
        <v/>
      </c>
      <c r="K528" s="16" t="str">
        <f aca="false">IF($A528="","",DATE(YEAR($A528),MONTH($A528),1))</f>
        <v/>
      </c>
    </row>
    <row r="529" customFormat="false" ht="15" hidden="false" customHeight="false" outlineLevel="0" collapsed="false">
      <c r="A529" s="25"/>
      <c r="B529" s="19"/>
      <c r="C529" s="19"/>
      <c r="D529" s="26"/>
      <c r="E529" s="27" t="str">
        <f aca="false">IF($B529="","",IFERROR(INDEX(Products!$B$2:$B$201,MATCH($B529,Products!$A$2:$A$201,0)),"Unknown code"))</f>
        <v/>
      </c>
      <c r="F529" s="22" t="str">
        <f aca="false">IF($B529="","",IFERROR(INDEX(Products!$C$2:$C$201,MATCH($B529,Products!$A$2:$A$201,0)),""))</f>
        <v/>
      </c>
      <c r="G529" s="17" t="str">
        <f aca="false">IF($B529="","",IFERROR(INDEX(Products!$D$2:$D$201,MATCH($B529,Products!$A$2:$A$201,0)),0))</f>
        <v/>
      </c>
      <c r="H529" s="17" t="str">
        <f aca="false">IF($B529="","",C529*G529*(1-D529))</f>
        <v/>
      </c>
      <c r="I529" s="17" t="str">
        <f aca="false">IF($B529="","",C529*IFERROR(INDEX(Products!$E$2:$E$201,MATCH($B529,Products!$A$2:$A$201,0)),0))</f>
        <v/>
      </c>
      <c r="J529" s="17" t="str">
        <f aca="false">IF($B529="","",H529-I529)</f>
        <v/>
      </c>
      <c r="K529" s="16" t="str">
        <f aca="false">IF($A529="","",DATE(YEAR($A529),MONTH($A529),1))</f>
        <v/>
      </c>
    </row>
    <row r="530" customFormat="false" ht="15" hidden="false" customHeight="false" outlineLevel="0" collapsed="false">
      <c r="A530" s="25"/>
      <c r="B530" s="19"/>
      <c r="C530" s="19"/>
      <c r="D530" s="26"/>
      <c r="E530" s="27" t="str">
        <f aca="false">IF($B530="","",IFERROR(INDEX(Products!$B$2:$B$201,MATCH($B530,Products!$A$2:$A$201,0)),"Unknown code"))</f>
        <v/>
      </c>
      <c r="F530" s="22" t="str">
        <f aca="false">IF($B530="","",IFERROR(INDEX(Products!$C$2:$C$201,MATCH($B530,Products!$A$2:$A$201,0)),""))</f>
        <v/>
      </c>
      <c r="G530" s="17" t="str">
        <f aca="false">IF($B530="","",IFERROR(INDEX(Products!$D$2:$D$201,MATCH($B530,Products!$A$2:$A$201,0)),0))</f>
        <v/>
      </c>
      <c r="H530" s="17" t="str">
        <f aca="false">IF($B530="","",C530*G530*(1-D530))</f>
        <v/>
      </c>
      <c r="I530" s="17" t="str">
        <f aca="false">IF($B530="","",C530*IFERROR(INDEX(Products!$E$2:$E$201,MATCH($B530,Products!$A$2:$A$201,0)),0))</f>
        <v/>
      </c>
      <c r="J530" s="17" t="str">
        <f aca="false">IF($B530="","",H530-I530)</f>
        <v/>
      </c>
      <c r="K530" s="16" t="str">
        <f aca="false">IF($A530="","",DATE(YEAR($A530),MONTH($A530),1))</f>
        <v/>
      </c>
    </row>
    <row r="531" customFormat="false" ht="15" hidden="false" customHeight="false" outlineLevel="0" collapsed="false">
      <c r="A531" s="25"/>
      <c r="B531" s="19"/>
      <c r="C531" s="19"/>
      <c r="D531" s="26"/>
      <c r="E531" s="27" t="str">
        <f aca="false">IF($B531="","",IFERROR(INDEX(Products!$B$2:$B$201,MATCH($B531,Products!$A$2:$A$201,0)),"Unknown code"))</f>
        <v/>
      </c>
      <c r="F531" s="22" t="str">
        <f aca="false">IF($B531="","",IFERROR(INDEX(Products!$C$2:$C$201,MATCH($B531,Products!$A$2:$A$201,0)),""))</f>
        <v/>
      </c>
      <c r="G531" s="17" t="str">
        <f aca="false">IF($B531="","",IFERROR(INDEX(Products!$D$2:$D$201,MATCH($B531,Products!$A$2:$A$201,0)),0))</f>
        <v/>
      </c>
      <c r="H531" s="17" t="str">
        <f aca="false">IF($B531="","",C531*G531*(1-D531))</f>
        <v/>
      </c>
      <c r="I531" s="17" t="str">
        <f aca="false">IF($B531="","",C531*IFERROR(INDEX(Products!$E$2:$E$201,MATCH($B531,Products!$A$2:$A$201,0)),0))</f>
        <v/>
      </c>
      <c r="J531" s="17" t="str">
        <f aca="false">IF($B531="","",H531-I531)</f>
        <v/>
      </c>
      <c r="K531" s="16" t="str">
        <f aca="false">IF($A531="","",DATE(YEAR($A531),MONTH($A531),1))</f>
        <v/>
      </c>
    </row>
    <row r="532" customFormat="false" ht="15" hidden="false" customHeight="false" outlineLevel="0" collapsed="false">
      <c r="A532" s="25"/>
      <c r="B532" s="19"/>
      <c r="C532" s="19"/>
      <c r="D532" s="26"/>
      <c r="E532" s="27" t="str">
        <f aca="false">IF($B532="","",IFERROR(INDEX(Products!$B$2:$B$201,MATCH($B532,Products!$A$2:$A$201,0)),"Unknown code"))</f>
        <v/>
      </c>
      <c r="F532" s="22" t="str">
        <f aca="false">IF($B532="","",IFERROR(INDEX(Products!$C$2:$C$201,MATCH($B532,Products!$A$2:$A$201,0)),""))</f>
        <v/>
      </c>
      <c r="G532" s="17" t="str">
        <f aca="false">IF($B532="","",IFERROR(INDEX(Products!$D$2:$D$201,MATCH($B532,Products!$A$2:$A$201,0)),0))</f>
        <v/>
      </c>
      <c r="H532" s="17" t="str">
        <f aca="false">IF($B532="","",C532*G532*(1-D532))</f>
        <v/>
      </c>
      <c r="I532" s="17" t="str">
        <f aca="false">IF($B532="","",C532*IFERROR(INDEX(Products!$E$2:$E$201,MATCH($B532,Products!$A$2:$A$201,0)),0))</f>
        <v/>
      </c>
      <c r="J532" s="17" t="str">
        <f aca="false">IF($B532="","",H532-I532)</f>
        <v/>
      </c>
      <c r="K532" s="16" t="str">
        <f aca="false">IF($A532="","",DATE(YEAR($A532),MONTH($A532),1))</f>
        <v/>
      </c>
    </row>
    <row r="533" customFormat="false" ht="15" hidden="false" customHeight="false" outlineLevel="0" collapsed="false">
      <c r="A533" s="25"/>
      <c r="B533" s="19"/>
      <c r="C533" s="19"/>
      <c r="D533" s="26"/>
      <c r="E533" s="27" t="str">
        <f aca="false">IF($B533="","",IFERROR(INDEX(Products!$B$2:$B$201,MATCH($B533,Products!$A$2:$A$201,0)),"Unknown code"))</f>
        <v/>
      </c>
      <c r="F533" s="22" t="str">
        <f aca="false">IF($B533="","",IFERROR(INDEX(Products!$C$2:$C$201,MATCH($B533,Products!$A$2:$A$201,0)),""))</f>
        <v/>
      </c>
      <c r="G533" s="17" t="str">
        <f aca="false">IF($B533="","",IFERROR(INDEX(Products!$D$2:$D$201,MATCH($B533,Products!$A$2:$A$201,0)),0))</f>
        <v/>
      </c>
      <c r="H533" s="17" t="str">
        <f aca="false">IF($B533="","",C533*G533*(1-D533))</f>
        <v/>
      </c>
      <c r="I533" s="17" t="str">
        <f aca="false">IF($B533="","",C533*IFERROR(INDEX(Products!$E$2:$E$201,MATCH($B533,Products!$A$2:$A$201,0)),0))</f>
        <v/>
      </c>
      <c r="J533" s="17" t="str">
        <f aca="false">IF($B533="","",H533-I533)</f>
        <v/>
      </c>
      <c r="K533" s="16" t="str">
        <f aca="false">IF($A533="","",DATE(YEAR($A533),MONTH($A533),1))</f>
        <v/>
      </c>
    </row>
    <row r="534" customFormat="false" ht="15" hidden="false" customHeight="false" outlineLevel="0" collapsed="false">
      <c r="A534" s="25"/>
      <c r="B534" s="19"/>
      <c r="C534" s="19"/>
      <c r="D534" s="26"/>
      <c r="E534" s="27" t="str">
        <f aca="false">IF($B534="","",IFERROR(INDEX(Products!$B$2:$B$201,MATCH($B534,Products!$A$2:$A$201,0)),"Unknown code"))</f>
        <v/>
      </c>
      <c r="F534" s="22" t="str">
        <f aca="false">IF($B534="","",IFERROR(INDEX(Products!$C$2:$C$201,MATCH($B534,Products!$A$2:$A$201,0)),""))</f>
        <v/>
      </c>
      <c r="G534" s="17" t="str">
        <f aca="false">IF($B534="","",IFERROR(INDEX(Products!$D$2:$D$201,MATCH($B534,Products!$A$2:$A$201,0)),0))</f>
        <v/>
      </c>
      <c r="H534" s="17" t="str">
        <f aca="false">IF($B534="","",C534*G534*(1-D534))</f>
        <v/>
      </c>
      <c r="I534" s="17" t="str">
        <f aca="false">IF($B534="","",C534*IFERROR(INDEX(Products!$E$2:$E$201,MATCH($B534,Products!$A$2:$A$201,0)),0))</f>
        <v/>
      </c>
      <c r="J534" s="17" t="str">
        <f aca="false">IF($B534="","",H534-I534)</f>
        <v/>
      </c>
      <c r="K534" s="16" t="str">
        <f aca="false">IF($A534="","",DATE(YEAR($A534),MONTH($A534),1))</f>
        <v/>
      </c>
    </row>
    <row r="535" customFormat="false" ht="15" hidden="false" customHeight="false" outlineLevel="0" collapsed="false">
      <c r="A535" s="25"/>
      <c r="B535" s="19"/>
      <c r="C535" s="19"/>
      <c r="D535" s="26"/>
      <c r="E535" s="27" t="str">
        <f aca="false">IF($B535="","",IFERROR(INDEX(Products!$B$2:$B$201,MATCH($B535,Products!$A$2:$A$201,0)),"Unknown code"))</f>
        <v/>
      </c>
      <c r="F535" s="22" t="str">
        <f aca="false">IF($B535="","",IFERROR(INDEX(Products!$C$2:$C$201,MATCH($B535,Products!$A$2:$A$201,0)),""))</f>
        <v/>
      </c>
      <c r="G535" s="17" t="str">
        <f aca="false">IF($B535="","",IFERROR(INDEX(Products!$D$2:$D$201,MATCH($B535,Products!$A$2:$A$201,0)),0))</f>
        <v/>
      </c>
      <c r="H535" s="17" t="str">
        <f aca="false">IF($B535="","",C535*G535*(1-D535))</f>
        <v/>
      </c>
      <c r="I535" s="17" t="str">
        <f aca="false">IF($B535="","",C535*IFERROR(INDEX(Products!$E$2:$E$201,MATCH($B535,Products!$A$2:$A$201,0)),0))</f>
        <v/>
      </c>
      <c r="J535" s="17" t="str">
        <f aca="false">IF($B535="","",H535-I535)</f>
        <v/>
      </c>
      <c r="K535" s="16" t="str">
        <f aca="false">IF($A535="","",DATE(YEAR($A535),MONTH($A535),1))</f>
        <v/>
      </c>
    </row>
    <row r="536" customFormat="false" ht="15" hidden="false" customHeight="false" outlineLevel="0" collapsed="false">
      <c r="A536" s="25"/>
      <c r="B536" s="19"/>
      <c r="C536" s="19"/>
      <c r="D536" s="26"/>
      <c r="E536" s="27" t="str">
        <f aca="false">IF($B536="","",IFERROR(INDEX(Products!$B$2:$B$201,MATCH($B536,Products!$A$2:$A$201,0)),"Unknown code"))</f>
        <v/>
      </c>
      <c r="F536" s="22" t="str">
        <f aca="false">IF($B536="","",IFERROR(INDEX(Products!$C$2:$C$201,MATCH($B536,Products!$A$2:$A$201,0)),""))</f>
        <v/>
      </c>
      <c r="G536" s="17" t="str">
        <f aca="false">IF($B536="","",IFERROR(INDEX(Products!$D$2:$D$201,MATCH($B536,Products!$A$2:$A$201,0)),0))</f>
        <v/>
      </c>
      <c r="H536" s="17" t="str">
        <f aca="false">IF($B536="","",C536*G536*(1-D536))</f>
        <v/>
      </c>
      <c r="I536" s="17" t="str">
        <f aca="false">IF($B536="","",C536*IFERROR(INDEX(Products!$E$2:$E$201,MATCH($B536,Products!$A$2:$A$201,0)),0))</f>
        <v/>
      </c>
      <c r="J536" s="17" t="str">
        <f aca="false">IF($B536="","",H536-I536)</f>
        <v/>
      </c>
      <c r="K536" s="16" t="str">
        <f aca="false">IF($A536="","",DATE(YEAR($A536),MONTH($A536),1))</f>
        <v/>
      </c>
    </row>
    <row r="537" customFormat="false" ht="15" hidden="false" customHeight="false" outlineLevel="0" collapsed="false">
      <c r="A537" s="25"/>
      <c r="B537" s="19"/>
      <c r="C537" s="19"/>
      <c r="D537" s="26"/>
      <c r="E537" s="27" t="str">
        <f aca="false">IF($B537="","",IFERROR(INDEX(Products!$B$2:$B$201,MATCH($B537,Products!$A$2:$A$201,0)),"Unknown code"))</f>
        <v/>
      </c>
      <c r="F537" s="22" t="str">
        <f aca="false">IF($B537="","",IFERROR(INDEX(Products!$C$2:$C$201,MATCH($B537,Products!$A$2:$A$201,0)),""))</f>
        <v/>
      </c>
      <c r="G537" s="17" t="str">
        <f aca="false">IF($B537="","",IFERROR(INDEX(Products!$D$2:$D$201,MATCH($B537,Products!$A$2:$A$201,0)),0))</f>
        <v/>
      </c>
      <c r="H537" s="17" t="str">
        <f aca="false">IF($B537="","",C537*G537*(1-D537))</f>
        <v/>
      </c>
      <c r="I537" s="17" t="str">
        <f aca="false">IF($B537="","",C537*IFERROR(INDEX(Products!$E$2:$E$201,MATCH($B537,Products!$A$2:$A$201,0)),0))</f>
        <v/>
      </c>
      <c r="J537" s="17" t="str">
        <f aca="false">IF($B537="","",H537-I537)</f>
        <v/>
      </c>
      <c r="K537" s="16" t="str">
        <f aca="false">IF($A537="","",DATE(YEAR($A537),MONTH($A537),1))</f>
        <v/>
      </c>
    </row>
    <row r="538" customFormat="false" ht="15" hidden="false" customHeight="false" outlineLevel="0" collapsed="false">
      <c r="A538" s="25"/>
      <c r="B538" s="19"/>
      <c r="C538" s="19"/>
      <c r="D538" s="26"/>
      <c r="E538" s="27" t="str">
        <f aca="false">IF($B538="","",IFERROR(INDEX(Products!$B$2:$B$201,MATCH($B538,Products!$A$2:$A$201,0)),"Unknown code"))</f>
        <v/>
      </c>
      <c r="F538" s="22" t="str">
        <f aca="false">IF($B538="","",IFERROR(INDEX(Products!$C$2:$C$201,MATCH($B538,Products!$A$2:$A$201,0)),""))</f>
        <v/>
      </c>
      <c r="G538" s="17" t="str">
        <f aca="false">IF($B538="","",IFERROR(INDEX(Products!$D$2:$D$201,MATCH($B538,Products!$A$2:$A$201,0)),0))</f>
        <v/>
      </c>
      <c r="H538" s="17" t="str">
        <f aca="false">IF($B538="","",C538*G538*(1-D538))</f>
        <v/>
      </c>
      <c r="I538" s="17" t="str">
        <f aca="false">IF($B538="","",C538*IFERROR(INDEX(Products!$E$2:$E$201,MATCH($B538,Products!$A$2:$A$201,0)),0))</f>
        <v/>
      </c>
      <c r="J538" s="17" t="str">
        <f aca="false">IF($B538="","",H538-I538)</f>
        <v/>
      </c>
      <c r="K538" s="16" t="str">
        <f aca="false">IF($A538="","",DATE(YEAR($A538),MONTH($A538),1))</f>
        <v/>
      </c>
    </row>
    <row r="539" customFormat="false" ht="15" hidden="false" customHeight="false" outlineLevel="0" collapsed="false">
      <c r="A539" s="25"/>
      <c r="B539" s="19"/>
      <c r="C539" s="19"/>
      <c r="D539" s="26"/>
      <c r="E539" s="27" t="str">
        <f aca="false">IF($B539="","",IFERROR(INDEX(Products!$B$2:$B$201,MATCH($B539,Products!$A$2:$A$201,0)),"Unknown code"))</f>
        <v/>
      </c>
      <c r="F539" s="22" t="str">
        <f aca="false">IF($B539="","",IFERROR(INDEX(Products!$C$2:$C$201,MATCH($B539,Products!$A$2:$A$201,0)),""))</f>
        <v/>
      </c>
      <c r="G539" s="17" t="str">
        <f aca="false">IF($B539="","",IFERROR(INDEX(Products!$D$2:$D$201,MATCH($B539,Products!$A$2:$A$201,0)),0))</f>
        <v/>
      </c>
      <c r="H539" s="17" t="str">
        <f aca="false">IF($B539="","",C539*G539*(1-D539))</f>
        <v/>
      </c>
      <c r="I539" s="17" t="str">
        <f aca="false">IF($B539="","",C539*IFERROR(INDEX(Products!$E$2:$E$201,MATCH($B539,Products!$A$2:$A$201,0)),0))</f>
        <v/>
      </c>
      <c r="J539" s="17" t="str">
        <f aca="false">IF($B539="","",H539-I539)</f>
        <v/>
      </c>
      <c r="K539" s="16" t="str">
        <f aca="false">IF($A539="","",DATE(YEAR($A539),MONTH($A539),1))</f>
        <v/>
      </c>
    </row>
    <row r="540" customFormat="false" ht="15" hidden="false" customHeight="false" outlineLevel="0" collapsed="false">
      <c r="A540" s="25"/>
      <c r="B540" s="19"/>
      <c r="C540" s="19"/>
      <c r="D540" s="26"/>
      <c r="E540" s="27" t="str">
        <f aca="false">IF($B540="","",IFERROR(INDEX(Products!$B$2:$B$201,MATCH($B540,Products!$A$2:$A$201,0)),"Unknown code"))</f>
        <v/>
      </c>
      <c r="F540" s="22" t="str">
        <f aca="false">IF($B540="","",IFERROR(INDEX(Products!$C$2:$C$201,MATCH($B540,Products!$A$2:$A$201,0)),""))</f>
        <v/>
      </c>
      <c r="G540" s="17" t="str">
        <f aca="false">IF($B540="","",IFERROR(INDEX(Products!$D$2:$D$201,MATCH($B540,Products!$A$2:$A$201,0)),0))</f>
        <v/>
      </c>
      <c r="H540" s="17" t="str">
        <f aca="false">IF($B540="","",C540*G540*(1-D540))</f>
        <v/>
      </c>
      <c r="I540" s="17" t="str">
        <f aca="false">IF($B540="","",C540*IFERROR(INDEX(Products!$E$2:$E$201,MATCH($B540,Products!$A$2:$A$201,0)),0))</f>
        <v/>
      </c>
      <c r="J540" s="17" t="str">
        <f aca="false">IF($B540="","",H540-I540)</f>
        <v/>
      </c>
      <c r="K540" s="16" t="str">
        <f aca="false">IF($A540="","",DATE(YEAR($A540),MONTH($A540),1))</f>
        <v/>
      </c>
    </row>
    <row r="541" customFormat="false" ht="15" hidden="false" customHeight="false" outlineLevel="0" collapsed="false">
      <c r="A541" s="25"/>
      <c r="B541" s="19"/>
      <c r="C541" s="19"/>
      <c r="D541" s="26"/>
      <c r="E541" s="27" t="str">
        <f aca="false">IF($B541="","",IFERROR(INDEX(Products!$B$2:$B$201,MATCH($B541,Products!$A$2:$A$201,0)),"Unknown code"))</f>
        <v/>
      </c>
      <c r="F541" s="22" t="str">
        <f aca="false">IF($B541="","",IFERROR(INDEX(Products!$C$2:$C$201,MATCH($B541,Products!$A$2:$A$201,0)),""))</f>
        <v/>
      </c>
      <c r="G541" s="17" t="str">
        <f aca="false">IF($B541="","",IFERROR(INDEX(Products!$D$2:$D$201,MATCH($B541,Products!$A$2:$A$201,0)),0))</f>
        <v/>
      </c>
      <c r="H541" s="17" t="str">
        <f aca="false">IF($B541="","",C541*G541*(1-D541))</f>
        <v/>
      </c>
      <c r="I541" s="17" t="str">
        <f aca="false">IF($B541="","",C541*IFERROR(INDEX(Products!$E$2:$E$201,MATCH($B541,Products!$A$2:$A$201,0)),0))</f>
        <v/>
      </c>
      <c r="J541" s="17" t="str">
        <f aca="false">IF($B541="","",H541-I541)</f>
        <v/>
      </c>
      <c r="K541" s="16" t="str">
        <f aca="false">IF($A541="","",DATE(YEAR($A541),MONTH($A541),1))</f>
        <v/>
      </c>
    </row>
    <row r="542" customFormat="false" ht="15" hidden="false" customHeight="false" outlineLevel="0" collapsed="false">
      <c r="A542" s="25"/>
      <c r="B542" s="19"/>
      <c r="C542" s="19"/>
      <c r="D542" s="26"/>
      <c r="E542" s="27" t="str">
        <f aca="false">IF($B542="","",IFERROR(INDEX(Products!$B$2:$B$201,MATCH($B542,Products!$A$2:$A$201,0)),"Unknown code"))</f>
        <v/>
      </c>
      <c r="F542" s="22" t="str">
        <f aca="false">IF($B542="","",IFERROR(INDEX(Products!$C$2:$C$201,MATCH($B542,Products!$A$2:$A$201,0)),""))</f>
        <v/>
      </c>
      <c r="G542" s="17" t="str">
        <f aca="false">IF($B542="","",IFERROR(INDEX(Products!$D$2:$D$201,MATCH($B542,Products!$A$2:$A$201,0)),0))</f>
        <v/>
      </c>
      <c r="H542" s="17" t="str">
        <f aca="false">IF($B542="","",C542*G542*(1-D542))</f>
        <v/>
      </c>
      <c r="I542" s="17" t="str">
        <f aca="false">IF($B542="","",C542*IFERROR(INDEX(Products!$E$2:$E$201,MATCH($B542,Products!$A$2:$A$201,0)),0))</f>
        <v/>
      </c>
      <c r="J542" s="17" t="str">
        <f aca="false">IF($B542="","",H542-I542)</f>
        <v/>
      </c>
      <c r="K542" s="16" t="str">
        <f aca="false">IF($A542="","",DATE(YEAR($A542),MONTH($A542),1))</f>
        <v/>
      </c>
    </row>
    <row r="543" customFormat="false" ht="15" hidden="false" customHeight="false" outlineLevel="0" collapsed="false">
      <c r="A543" s="25"/>
      <c r="B543" s="19"/>
      <c r="C543" s="19"/>
      <c r="D543" s="26"/>
      <c r="E543" s="27" t="str">
        <f aca="false">IF($B543="","",IFERROR(INDEX(Products!$B$2:$B$201,MATCH($B543,Products!$A$2:$A$201,0)),"Unknown code"))</f>
        <v/>
      </c>
      <c r="F543" s="22" t="str">
        <f aca="false">IF($B543="","",IFERROR(INDEX(Products!$C$2:$C$201,MATCH($B543,Products!$A$2:$A$201,0)),""))</f>
        <v/>
      </c>
      <c r="G543" s="17" t="str">
        <f aca="false">IF($B543="","",IFERROR(INDEX(Products!$D$2:$D$201,MATCH($B543,Products!$A$2:$A$201,0)),0))</f>
        <v/>
      </c>
      <c r="H543" s="17" t="str">
        <f aca="false">IF($B543="","",C543*G543*(1-D543))</f>
        <v/>
      </c>
      <c r="I543" s="17" t="str">
        <f aca="false">IF($B543="","",C543*IFERROR(INDEX(Products!$E$2:$E$201,MATCH($B543,Products!$A$2:$A$201,0)),0))</f>
        <v/>
      </c>
      <c r="J543" s="17" t="str">
        <f aca="false">IF($B543="","",H543-I543)</f>
        <v/>
      </c>
      <c r="K543" s="16" t="str">
        <f aca="false">IF($A543="","",DATE(YEAR($A543),MONTH($A543),1))</f>
        <v/>
      </c>
    </row>
    <row r="544" customFormat="false" ht="15" hidden="false" customHeight="false" outlineLevel="0" collapsed="false">
      <c r="A544" s="25"/>
      <c r="B544" s="19"/>
      <c r="C544" s="19"/>
      <c r="D544" s="26"/>
      <c r="E544" s="27" t="str">
        <f aca="false">IF($B544="","",IFERROR(INDEX(Products!$B$2:$B$201,MATCH($B544,Products!$A$2:$A$201,0)),"Unknown code"))</f>
        <v/>
      </c>
      <c r="F544" s="22" t="str">
        <f aca="false">IF($B544="","",IFERROR(INDEX(Products!$C$2:$C$201,MATCH($B544,Products!$A$2:$A$201,0)),""))</f>
        <v/>
      </c>
      <c r="G544" s="17" t="str">
        <f aca="false">IF($B544="","",IFERROR(INDEX(Products!$D$2:$D$201,MATCH($B544,Products!$A$2:$A$201,0)),0))</f>
        <v/>
      </c>
      <c r="H544" s="17" t="str">
        <f aca="false">IF($B544="","",C544*G544*(1-D544))</f>
        <v/>
      </c>
      <c r="I544" s="17" t="str">
        <f aca="false">IF($B544="","",C544*IFERROR(INDEX(Products!$E$2:$E$201,MATCH($B544,Products!$A$2:$A$201,0)),0))</f>
        <v/>
      </c>
      <c r="J544" s="17" t="str">
        <f aca="false">IF($B544="","",H544-I544)</f>
        <v/>
      </c>
      <c r="K544" s="16" t="str">
        <f aca="false">IF($A544="","",DATE(YEAR($A544),MONTH($A544),1))</f>
        <v/>
      </c>
    </row>
    <row r="545" customFormat="false" ht="15" hidden="false" customHeight="false" outlineLevel="0" collapsed="false">
      <c r="A545" s="25"/>
      <c r="B545" s="19"/>
      <c r="C545" s="19"/>
      <c r="D545" s="26"/>
      <c r="E545" s="27" t="str">
        <f aca="false">IF($B545="","",IFERROR(INDEX(Products!$B$2:$B$201,MATCH($B545,Products!$A$2:$A$201,0)),"Unknown code"))</f>
        <v/>
      </c>
      <c r="F545" s="22" t="str">
        <f aca="false">IF($B545="","",IFERROR(INDEX(Products!$C$2:$C$201,MATCH($B545,Products!$A$2:$A$201,0)),""))</f>
        <v/>
      </c>
      <c r="G545" s="17" t="str">
        <f aca="false">IF($B545="","",IFERROR(INDEX(Products!$D$2:$D$201,MATCH($B545,Products!$A$2:$A$201,0)),0))</f>
        <v/>
      </c>
      <c r="H545" s="17" t="str">
        <f aca="false">IF($B545="","",C545*G545*(1-D545))</f>
        <v/>
      </c>
      <c r="I545" s="17" t="str">
        <f aca="false">IF($B545="","",C545*IFERROR(INDEX(Products!$E$2:$E$201,MATCH($B545,Products!$A$2:$A$201,0)),0))</f>
        <v/>
      </c>
      <c r="J545" s="17" t="str">
        <f aca="false">IF($B545="","",H545-I545)</f>
        <v/>
      </c>
      <c r="K545" s="16" t="str">
        <f aca="false">IF($A545="","",DATE(YEAR($A545),MONTH($A545),1))</f>
        <v/>
      </c>
    </row>
    <row r="546" customFormat="false" ht="15" hidden="false" customHeight="false" outlineLevel="0" collapsed="false">
      <c r="A546" s="25"/>
      <c r="B546" s="19"/>
      <c r="C546" s="19"/>
      <c r="D546" s="26"/>
      <c r="E546" s="27" t="str">
        <f aca="false">IF($B546="","",IFERROR(INDEX(Products!$B$2:$B$201,MATCH($B546,Products!$A$2:$A$201,0)),"Unknown code"))</f>
        <v/>
      </c>
      <c r="F546" s="22" t="str">
        <f aca="false">IF($B546="","",IFERROR(INDEX(Products!$C$2:$C$201,MATCH($B546,Products!$A$2:$A$201,0)),""))</f>
        <v/>
      </c>
      <c r="G546" s="17" t="str">
        <f aca="false">IF($B546="","",IFERROR(INDEX(Products!$D$2:$D$201,MATCH($B546,Products!$A$2:$A$201,0)),0))</f>
        <v/>
      </c>
      <c r="H546" s="17" t="str">
        <f aca="false">IF($B546="","",C546*G546*(1-D546))</f>
        <v/>
      </c>
      <c r="I546" s="17" t="str">
        <f aca="false">IF($B546="","",C546*IFERROR(INDEX(Products!$E$2:$E$201,MATCH($B546,Products!$A$2:$A$201,0)),0))</f>
        <v/>
      </c>
      <c r="J546" s="17" t="str">
        <f aca="false">IF($B546="","",H546-I546)</f>
        <v/>
      </c>
      <c r="K546" s="16" t="str">
        <f aca="false">IF($A546="","",DATE(YEAR($A546),MONTH($A546),1))</f>
        <v/>
      </c>
    </row>
    <row r="547" customFormat="false" ht="15" hidden="false" customHeight="false" outlineLevel="0" collapsed="false">
      <c r="A547" s="25"/>
      <c r="B547" s="19"/>
      <c r="C547" s="19"/>
      <c r="D547" s="26"/>
      <c r="E547" s="27" t="str">
        <f aca="false">IF($B547="","",IFERROR(INDEX(Products!$B$2:$B$201,MATCH($B547,Products!$A$2:$A$201,0)),"Unknown code"))</f>
        <v/>
      </c>
      <c r="F547" s="22" t="str">
        <f aca="false">IF($B547="","",IFERROR(INDEX(Products!$C$2:$C$201,MATCH($B547,Products!$A$2:$A$201,0)),""))</f>
        <v/>
      </c>
      <c r="G547" s="17" t="str">
        <f aca="false">IF($B547="","",IFERROR(INDEX(Products!$D$2:$D$201,MATCH($B547,Products!$A$2:$A$201,0)),0))</f>
        <v/>
      </c>
      <c r="H547" s="17" t="str">
        <f aca="false">IF($B547="","",C547*G547*(1-D547))</f>
        <v/>
      </c>
      <c r="I547" s="17" t="str">
        <f aca="false">IF($B547="","",C547*IFERROR(INDEX(Products!$E$2:$E$201,MATCH($B547,Products!$A$2:$A$201,0)),0))</f>
        <v/>
      </c>
      <c r="J547" s="17" t="str">
        <f aca="false">IF($B547="","",H547-I547)</f>
        <v/>
      </c>
      <c r="K547" s="16" t="str">
        <f aca="false">IF($A547="","",DATE(YEAR($A547),MONTH($A547),1))</f>
        <v/>
      </c>
    </row>
    <row r="548" customFormat="false" ht="15" hidden="false" customHeight="false" outlineLevel="0" collapsed="false">
      <c r="A548" s="25"/>
      <c r="B548" s="19"/>
      <c r="C548" s="19"/>
      <c r="D548" s="26"/>
      <c r="E548" s="27" t="str">
        <f aca="false">IF($B548="","",IFERROR(INDEX(Products!$B$2:$B$201,MATCH($B548,Products!$A$2:$A$201,0)),"Unknown code"))</f>
        <v/>
      </c>
      <c r="F548" s="22" t="str">
        <f aca="false">IF($B548="","",IFERROR(INDEX(Products!$C$2:$C$201,MATCH($B548,Products!$A$2:$A$201,0)),""))</f>
        <v/>
      </c>
      <c r="G548" s="17" t="str">
        <f aca="false">IF($B548="","",IFERROR(INDEX(Products!$D$2:$D$201,MATCH($B548,Products!$A$2:$A$201,0)),0))</f>
        <v/>
      </c>
      <c r="H548" s="17" t="str">
        <f aca="false">IF($B548="","",C548*G548*(1-D548))</f>
        <v/>
      </c>
      <c r="I548" s="17" t="str">
        <f aca="false">IF($B548="","",C548*IFERROR(INDEX(Products!$E$2:$E$201,MATCH($B548,Products!$A$2:$A$201,0)),0))</f>
        <v/>
      </c>
      <c r="J548" s="17" t="str">
        <f aca="false">IF($B548="","",H548-I548)</f>
        <v/>
      </c>
      <c r="K548" s="16" t="str">
        <f aca="false">IF($A548="","",DATE(YEAR($A548),MONTH($A548),1))</f>
        <v/>
      </c>
    </row>
    <row r="549" customFormat="false" ht="15" hidden="false" customHeight="false" outlineLevel="0" collapsed="false">
      <c r="A549" s="25"/>
      <c r="B549" s="19"/>
      <c r="C549" s="19"/>
      <c r="D549" s="26"/>
      <c r="E549" s="27" t="str">
        <f aca="false">IF($B549="","",IFERROR(INDEX(Products!$B$2:$B$201,MATCH($B549,Products!$A$2:$A$201,0)),"Unknown code"))</f>
        <v/>
      </c>
      <c r="F549" s="22" t="str">
        <f aca="false">IF($B549="","",IFERROR(INDEX(Products!$C$2:$C$201,MATCH($B549,Products!$A$2:$A$201,0)),""))</f>
        <v/>
      </c>
      <c r="G549" s="17" t="str">
        <f aca="false">IF($B549="","",IFERROR(INDEX(Products!$D$2:$D$201,MATCH($B549,Products!$A$2:$A$201,0)),0))</f>
        <v/>
      </c>
      <c r="H549" s="17" t="str">
        <f aca="false">IF($B549="","",C549*G549*(1-D549))</f>
        <v/>
      </c>
      <c r="I549" s="17" t="str">
        <f aca="false">IF($B549="","",C549*IFERROR(INDEX(Products!$E$2:$E$201,MATCH($B549,Products!$A$2:$A$201,0)),0))</f>
        <v/>
      </c>
      <c r="J549" s="17" t="str">
        <f aca="false">IF($B549="","",H549-I549)</f>
        <v/>
      </c>
      <c r="K549" s="16" t="str">
        <f aca="false">IF($A549="","",DATE(YEAR($A549),MONTH($A549),1))</f>
        <v/>
      </c>
    </row>
    <row r="550" customFormat="false" ht="15" hidden="false" customHeight="false" outlineLevel="0" collapsed="false">
      <c r="A550" s="25"/>
      <c r="B550" s="19"/>
      <c r="C550" s="19"/>
      <c r="D550" s="26"/>
      <c r="E550" s="27" t="str">
        <f aca="false">IF($B550="","",IFERROR(INDEX(Products!$B$2:$B$201,MATCH($B550,Products!$A$2:$A$201,0)),"Unknown code"))</f>
        <v/>
      </c>
      <c r="F550" s="22" t="str">
        <f aca="false">IF($B550="","",IFERROR(INDEX(Products!$C$2:$C$201,MATCH($B550,Products!$A$2:$A$201,0)),""))</f>
        <v/>
      </c>
      <c r="G550" s="17" t="str">
        <f aca="false">IF($B550="","",IFERROR(INDEX(Products!$D$2:$D$201,MATCH($B550,Products!$A$2:$A$201,0)),0))</f>
        <v/>
      </c>
      <c r="H550" s="17" t="str">
        <f aca="false">IF($B550="","",C550*G550*(1-D550))</f>
        <v/>
      </c>
      <c r="I550" s="17" t="str">
        <f aca="false">IF($B550="","",C550*IFERROR(INDEX(Products!$E$2:$E$201,MATCH($B550,Products!$A$2:$A$201,0)),0))</f>
        <v/>
      </c>
      <c r="J550" s="17" t="str">
        <f aca="false">IF($B550="","",H550-I550)</f>
        <v/>
      </c>
      <c r="K550" s="16" t="str">
        <f aca="false">IF($A550="","",DATE(YEAR($A550),MONTH($A550),1))</f>
        <v/>
      </c>
    </row>
    <row r="551" customFormat="false" ht="15" hidden="false" customHeight="false" outlineLevel="0" collapsed="false">
      <c r="A551" s="25"/>
      <c r="B551" s="19"/>
      <c r="C551" s="19"/>
      <c r="D551" s="26"/>
      <c r="E551" s="27" t="str">
        <f aca="false">IF($B551="","",IFERROR(INDEX(Products!$B$2:$B$201,MATCH($B551,Products!$A$2:$A$201,0)),"Unknown code"))</f>
        <v/>
      </c>
      <c r="F551" s="22" t="str">
        <f aca="false">IF($B551="","",IFERROR(INDEX(Products!$C$2:$C$201,MATCH($B551,Products!$A$2:$A$201,0)),""))</f>
        <v/>
      </c>
      <c r="G551" s="17" t="str">
        <f aca="false">IF($B551="","",IFERROR(INDEX(Products!$D$2:$D$201,MATCH($B551,Products!$A$2:$A$201,0)),0))</f>
        <v/>
      </c>
      <c r="H551" s="17" t="str">
        <f aca="false">IF($B551="","",C551*G551*(1-D551))</f>
        <v/>
      </c>
      <c r="I551" s="17" t="str">
        <f aca="false">IF($B551="","",C551*IFERROR(INDEX(Products!$E$2:$E$201,MATCH($B551,Products!$A$2:$A$201,0)),0))</f>
        <v/>
      </c>
      <c r="J551" s="17" t="str">
        <f aca="false">IF($B551="","",H551-I551)</f>
        <v/>
      </c>
      <c r="K551" s="16" t="str">
        <f aca="false">IF($A551="","",DATE(YEAR($A551),MONTH($A551),1))</f>
        <v/>
      </c>
    </row>
    <row r="552" customFormat="false" ht="15" hidden="false" customHeight="false" outlineLevel="0" collapsed="false">
      <c r="A552" s="25"/>
      <c r="B552" s="19"/>
      <c r="C552" s="19"/>
      <c r="D552" s="26"/>
      <c r="E552" s="27" t="str">
        <f aca="false">IF($B552="","",IFERROR(INDEX(Products!$B$2:$B$201,MATCH($B552,Products!$A$2:$A$201,0)),"Unknown code"))</f>
        <v/>
      </c>
      <c r="F552" s="22" t="str">
        <f aca="false">IF($B552="","",IFERROR(INDEX(Products!$C$2:$C$201,MATCH($B552,Products!$A$2:$A$201,0)),""))</f>
        <v/>
      </c>
      <c r="G552" s="17" t="str">
        <f aca="false">IF($B552="","",IFERROR(INDEX(Products!$D$2:$D$201,MATCH($B552,Products!$A$2:$A$201,0)),0))</f>
        <v/>
      </c>
      <c r="H552" s="17" t="str">
        <f aca="false">IF($B552="","",C552*G552*(1-D552))</f>
        <v/>
      </c>
      <c r="I552" s="17" t="str">
        <f aca="false">IF($B552="","",C552*IFERROR(INDEX(Products!$E$2:$E$201,MATCH($B552,Products!$A$2:$A$201,0)),0))</f>
        <v/>
      </c>
      <c r="J552" s="17" t="str">
        <f aca="false">IF($B552="","",H552-I552)</f>
        <v/>
      </c>
      <c r="K552" s="16" t="str">
        <f aca="false">IF($A552="","",DATE(YEAR($A552),MONTH($A552),1))</f>
        <v/>
      </c>
    </row>
    <row r="553" customFormat="false" ht="15" hidden="false" customHeight="false" outlineLevel="0" collapsed="false">
      <c r="A553" s="25"/>
      <c r="B553" s="19"/>
      <c r="C553" s="19"/>
      <c r="D553" s="26"/>
      <c r="E553" s="27" t="str">
        <f aca="false">IF($B553="","",IFERROR(INDEX(Products!$B$2:$B$201,MATCH($B553,Products!$A$2:$A$201,0)),"Unknown code"))</f>
        <v/>
      </c>
      <c r="F553" s="22" t="str">
        <f aca="false">IF($B553="","",IFERROR(INDEX(Products!$C$2:$C$201,MATCH($B553,Products!$A$2:$A$201,0)),""))</f>
        <v/>
      </c>
      <c r="G553" s="17" t="str">
        <f aca="false">IF($B553="","",IFERROR(INDEX(Products!$D$2:$D$201,MATCH($B553,Products!$A$2:$A$201,0)),0))</f>
        <v/>
      </c>
      <c r="H553" s="17" t="str">
        <f aca="false">IF($B553="","",C553*G553*(1-D553))</f>
        <v/>
      </c>
      <c r="I553" s="17" t="str">
        <f aca="false">IF($B553="","",C553*IFERROR(INDEX(Products!$E$2:$E$201,MATCH($B553,Products!$A$2:$A$201,0)),0))</f>
        <v/>
      </c>
      <c r="J553" s="17" t="str">
        <f aca="false">IF($B553="","",H553-I553)</f>
        <v/>
      </c>
      <c r="K553" s="16" t="str">
        <f aca="false">IF($A553="","",DATE(YEAR($A553),MONTH($A553),1))</f>
        <v/>
      </c>
    </row>
    <row r="554" customFormat="false" ht="15" hidden="false" customHeight="false" outlineLevel="0" collapsed="false">
      <c r="A554" s="25"/>
      <c r="B554" s="19"/>
      <c r="C554" s="19"/>
      <c r="D554" s="26"/>
      <c r="E554" s="27" t="str">
        <f aca="false">IF($B554="","",IFERROR(INDEX(Products!$B$2:$B$201,MATCH($B554,Products!$A$2:$A$201,0)),"Unknown code"))</f>
        <v/>
      </c>
      <c r="F554" s="22" t="str">
        <f aca="false">IF($B554="","",IFERROR(INDEX(Products!$C$2:$C$201,MATCH($B554,Products!$A$2:$A$201,0)),""))</f>
        <v/>
      </c>
      <c r="G554" s="17" t="str">
        <f aca="false">IF($B554="","",IFERROR(INDEX(Products!$D$2:$D$201,MATCH($B554,Products!$A$2:$A$201,0)),0))</f>
        <v/>
      </c>
      <c r="H554" s="17" t="str">
        <f aca="false">IF($B554="","",C554*G554*(1-D554))</f>
        <v/>
      </c>
      <c r="I554" s="17" t="str">
        <f aca="false">IF($B554="","",C554*IFERROR(INDEX(Products!$E$2:$E$201,MATCH($B554,Products!$A$2:$A$201,0)),0))</f>
        <v/>
      </c>
      <c r="J554" s="17" t="str">
        <f aca="false">IF($B554="","",H554-I554)</f>
        <v/>
      </c>
      <c r="K554" s="16" t="str">
        <f aca="false">IF($A554="","",DATE(YEAR($A554),MONTH($A554),1))</f>
        <v/>
      </c>
    </row>
    <row r="555" customFormat="false" ht="15" hidden="false" customHeight="false" outlineLevel="0" collapsed="false">
      <c r="A555" s="25"/>
      <c r="B555" s="19"/>
      <c r="C555" s="19"/>
      <c r="D555" s="26"/>
      <c r="E555" s="27" t="str">
        <f aca="false">IF($B555="","",IFERROR(INDEX(Products!$B$2:$B$201,MATCH($B555,Products!$A$2:$A$201,0)),"Unknown code"))</f>
        <v/>
      </c>
      <c r="F555" s="22" t="str">
        <f aca="false">IF($B555="","",IFERROR(INDEX(Products!$C$2:$C$201,MATCH($B555,Products!$A$2:$A$201,0)),""))</f>
        <v/>
      </c>
      <c r="G555" s="17" t="str">
        <f aca="false">IF($B555="","",IFERROR(INDEX(Products!$D$2:$D$201,MATCH($B555,Products!$A$2:$A$201,0)),0))</f>
        <v/>
      </c>
      <c r="H555" s="17" t="str">
        <f aca="false">IF($B555="","",C555*G555*(1-D555))</f>
        <v/>
      </c>
      <c r="I555" s="17" t="str">
        <f aca="false">IF($B555="","",C555*IFERROR(INDEX(Products!$E$2:$E$201,MATCH($B555,Products!$A$2:$A$201,0)),0))</f>
        <v/>
      </c>
      <c r="J555" s="17" t="str">
        <f aca="false">IF($B555="","",H555-I555)</f>
        <v/>
      </c>
      <c r="K555" s="16" t="str">
        <f aca="false">IF($A555="","",DATE(YEAR($A555),MONTH($A555),1))</f>
        <v/>
      </c>
    </row>
    <row r="556" customFormat="false" ht="15" hidden="false" customHeight="false" outlineLevel="0" collapsed="false">
      <c r="A556" s="25"/>
      <c r="B556" s="19"/>
      <c r="C556" s="19"/>
      <c r="D556" s="26"/>
      <c r="E556" s="27" t="str">
        <f aca="false">IF($B556="","",IFERROR(INDEX(Products!$B$2:$B$201,MATCH($B556,Products!$A$2:$A$201,0)),"Unknown code"))</f>
        <v/>
      </c>
      <c r="F556" s="22" t="str">
        <f aca="false">IF($B556="","",IFERROR(INDEX(Products!$C$2:$C$201,MATCH($B556,Products!$A$2:$A$201,0)),""))</f>
        <v/>
      </c>
      <c r="G556" s="17" t="str">
        <f aca="false">IF($B556="","",IFERROR(INDEX(Products!$D$2:$D$201,MATCH($B556,Products!$A$2:$A$201,0)),0))</f>
        <v/>
      </c>
      <c r="H556" s="17" t="str">
        <f aca="false">IF($B556="","",C556*G556*(1-D556))</f>
        <v/>
      </c>
      <c r="I556" s="17" t="str">
        <f aca="false">IF($B556="","",C556*IFERROR(INDEX(Products!$E$2:$E$201,MATCH($B556,Products!$A$2:$A$201,0)),0))</f>
        <v/>
      </c>
      <c r="J556" s="17" t="str">
        <f aca="false">IF($B556="","",H556-I556)</f>
        <v/>
      </c>
      <c r="K556" s="16" t="str">
        <f aca="false">IF($A556="","",DATE(YEAR($A556),MONTH($A556),1))</f>
        <v/>
      </c>
    </row>
    <row r="557" customFormat="false" ht="15" hidden="false" customHeight="false" outlineLevel="0" collapsed="false">
      <c r="A557" s="25"/>
      <c r="B557" s="19"/>
      <c r="C557" s="19"/>
      <c r="D557" s="26"/>
      <c r="E557" s="27" t="str">
        <f aca="false">IF($B557="","",IFERROR(INDEX(Products!$B$2:$B$201,MATCH($B557,Products!$A$2:$A$201,0)),"Unknown code"))</f>
        <v/>
      </c>
      <c r="F557" s="22" t="str">
        <f aca="false">IF($B557="","",IFERROR(INDEX(Products!$C$2:$C$201,MATCH($B557,Products!$A$2:$A$201,0)),""))</f>
        <v/>
      </c>
      <c r="G557" s="17" t="str">
        <f aca="false">IF($B557="","",IFERROR(INDEX(Products!$D$2:$D$201,MATCH($B557,Products!$A$2:$A$201,0)),0))</f>
        <v/>
      </c>
      <c r="H557" s="17" t="str">
        <f aca="false">IF($B557="","",C557*G557*(1-D557))</f>
        <v/>
      </c>
      <c r="I557" s="17" t="str">
        <f aca="false">IF($B557="","",C557*IFERROR(INDEX(Products!$E$2:$E$201,MATCH($B557,Products!$A$2:$A$201,0)),0))</f>
        <v/>
      </c>
      <c r="J557" s="17" t="str">
        <f aca="false">IF($B557="","",H557-I557)</f>
        <v/>
      </c>
      <c r="K557" s="16" t="str">
        <f aca="false">IF($A557="","",DATE(YEAR($A557),MONTH($A557),1))</f>
        <v/>
      </c>
    </row>
    <row r="558" customFormat="false" ht="15" hidden="false" customHeight="false" outlineLevel="0" collapsed="false">
      <c r="A558" s="25"/>
      <c r="B558" s="19"/>
      <c r="C558" s="19"/>
      <c r="D558" s="26"/>
      <c r="E558" s="27" t="str">
        <f aca="false">IF($B558="","",IFERROR(INDEX(Products!$B$2:$B$201,MATCH($B558,Products!$A$2:$A$201,0)),"Unknown code"))</f>
        <v/>
      </c>
      <c r="F558" s="22" t="str">
        <f aca="false">IF($B558="","",IFERROR(INDEX(Products!$C$2:$C$201,MATCH($B558,Products!$A$2:$A$201,0)),""))</f>
        <v/>
      </c>
      <c r="G558" s="17" t="str">
        <f aca="false">IF($B558="","",IFERROR(INDEX(Products!$D$2:$D$201,MATCH($B558,Products!$A$2:$A$201,0)),0))</f>
        <v/>
      </c>
      <c r="H558" s="17" t="str">
        <f aca="false">IF($B558="","",C558*G558*(1-D558))</f>
        <v/>
      </c>
      <c r="I558" s="17" t="str">
        <f aca="false">IF($B558="","",C558*IFERROR(INDEX(Products!$E$2:$E$201,MATCH($B558,Products!$A$2:$A$201,0)),0))</f>
        <v/>
      </c>
      <c r="J558" s="17" t="str">
        <f aca="false">IF($B558="","",H558-I558)</f>
        <v/>
      </c>
      <c r="K558" s="16" t="str">
        <f aca="false">IF($A558="","",DATE(YEAR($A558),MONTH($A558),1))</f>
        <v/>
      </c>
    </row>
    <row r="559" customFormat="false" ht="15" hidden="false" customHeight="false" outlineLevel="0" collapsed="false">
      <c r="A559" s="25"/>
      <c r="B559" s="19"/>
      <c r="C559" s="19"/>
      <c r="D559" s="26"/>
      <c r="E559" s="27" t="str">
        <f aca="false">IF($B559="","",IFERROR(INDEX(Products!$B$2:$B$201,MATCH($B559,Products!$A$2:$A$201,0)),"Unknown code"))</f>
        <v/>
      </c>
      <c r="F559" s="22" t="str">
        <f aca="false">IF($B559="","",IFERROR(INDEX(Products!$C$2:$C$201,MATCH($B559,Products!$A$2:$A$201,0)),""))</f>
        <v/>
      </c>
      <c r="G559" s="17" t="str">
        <f aca="false">IF($B559="","",IFERROR(INDEX(Products!$D$2:$D$201,MATCH($B559,Products!$A$2:$A$201,0)),0))</f>
        <v/>
      </c>
      <c r="H559" s="17" t="str">
        <f aca="false">IF($B559="","",C559*G559*(1-D559))</f>
        <v/>
      </c>
      <c r="I559" s="17" t="str">
        <f aca="false">IF($B559="","",C559*IFERROR(INDEX(Products!$E$2:$E$201,MATCH($B559,Products!$A$2:$A$201,0)),0))</f>
        <v/>
      </c>
      <c r="J559" s="17" t="str">
        <f aca="false">IF($B559="","",H559-I559)</f>
        <v/>
      </c>
      <c r="K559" s="16" t="str">
        <f aca="false">IF($A559="","",DATE(YEAR($A559),MONTH($A559),1))</f>
        <v/>
      </c>
    </row>
    <row r="560" customFormat="false" ht="15" hidden="false" customHeight="false" outlineLevel="0" collapsed="false">
      <c r="A560" s="25"/>
      <c r="B560" s="19"/>
      <c r="C560" s="19"/>
      <c r="D560" s="26"/>
      <c r="E560" s="27" t="str">
        <f aca="false">IF($B560="","",IFERROR(INDEX(Products!$B$2:$B$201,MATCH($B560,Products!$A$2:$A$201,0)),"Unknown code"))</f>
        <v/>
      </c>
      <c r="F560" s="22" t="str">
        <f aca="false">IF($B560="","",IFERROR(INDEX(Products!$C$2:$C$201,MATCH($B560,Products!$A$2:$A$201,0)),""))</f>
        <v/>
      </c>
      <c r="G560" s="17" t="str">
        <f aca="false">IF($B560="","",IFERROR(INDEX(Products!$D$2:$D$201,MATCH($B560,Products!$A$2:$A$201,0)),0))</f>
        <v/>
      </c>
      <c r="H560" s="17" t="str">
        <f aca="false">IF($B560="","",C560*G560*(1-D560))</f>
        <v/>
      </c>
      <c r="I560" s="17" t="str">
        <f aca="false">IF($B560="","",C560*IFERROR(INDEX(Products!$E$2:$E$201,MATCH($B560,Products!$A$2:$A$201,0)),0))</f>
        <v/>
      </c>
      <c r="J560" s="17" t="str">
        <f aca="false">IF($B560="","",H560-I560)</f>
        <v/>
      </c>
      <c r="K560" s="16" t="str">
        <f aca="false">IF($A560="","",DATE(YEAR($A560),MONTH($A560),1))</f>
        <v/>
      </c>
    </row>
    <row r="561" customFormat="false" ht="15" hidden="false" customHeight="false" outlineLevel="0" collapsed="false">
      <c r="A561" s="25"/>
      <c r="B561" s="19"/>
      <c r="C561" s="19"/>
      <c r="D561" s="26"/>
      <c r="E561" s="27" t="str">
        <f aca="false">IF($B561="","",IFERROR(INDEX(Products!$B$2:$B$201,MATCH($B561,Products!$A$2:$A$201,0)),"Unknown code"))</f>
        <v/>
      </c>
      <c r="F561" s="22" t="str">
        <f aca="false">IF($B561="","",IFERROR(INDEX(Products!$C$2:$C$201,MATCH($B561,Products!$A$2:$A$201,0)),""))</f>
        <v/>
      </c>
      <c r="G561" s="17" t="str">
        <f aca="false">IF($B561="","",IFERROR(INDEX(Products!$D$2:$D$201,MATCH($B561,Products!$A$2:$A$201,0)),0))</f>
        <v/>
      </c>
      <c r="H561" s="17" t="str">
        <f aca="false">IF($B561="","",C561*G561*(1-D561))</f>
        <v/>
      </c>
      <c r="I561" s="17" t="str">
        <f aca="false">IF($B561="","",C561*IFERROR(INDEX(Products!$E$2:$E$201,MATCH($B561,Products!$A$2:$A$201,0)),0))</f>
        <v/>
      </c>
      <c r="J561" s="17" t="str">
        <f aca="false">IF($B561="","",H561-I561)</f>
        <v/>
      </c>
      <c r="K561" s="16" t="str">
        <f aca="false">IF($A561="","",DATE(YEAR($A561),MONTH($A561),1))</f>
        <v/>
      </c>
    </row>
    <row r="562" customFormat="false" ht="15" hidden="false" customHeight="false" outlineLevel="0" collapsed="false">
      <c r="A562" s="25"/>
      <c r="B562" s="19"/>
      <c r="C562" s="19"/>
      <c r="D562" s="26"/>
      <c r="E562" s="27" t="str">
        <f aca="false">IF($B562="","",IFERROR(INDEX(Products!$B$2:$B$201,MATCH($B562,Products!$A$2:$A$201,0)),"Unknown code"))</f>
        <v/>
      </c>
      <c r="F562" s="22" t="str">
        <f aca="false">IF($B562="","",IFERROR(INDEX(Products!$C$2:$C$201,MATCH($B562,Products!$A$2:$A$201,0)),""))</f>
        <v/>
      </c>
      <c r="G562" s="17" t="str">
        <f aca="false">IF($B562="","",IFERROR(INDEX(Products!$D$2:$D$201,MATCH($B562,Products!$A$2:$A$201,0)),0))</f>
        <v/>
      </c>
      <c r="H562" s="17" t="str">
        <f aca="false">IF($B562="","",C562*G562*(1-D562))</f>
        <v/>
      </c>
      <c r="I562" s="17" t="str">
        <f aca="false">IF($B562="","",C562*IFERROR(INDEX(Products!$E$2:$E$201,MATCH($B562,Products!$A$2:$A$201,0)),0))</f>
        <v/>
      </c>
      <c r="J562" s="17" t="str">
        <f aca="false">IF($B562="","",H562-I562)</f>
        <v/>
      </c>
      <c r="K562" s="16" t="str">
        <f aca="false">IF($A562="","",DATE(YEAR($A562),MONTH($A562),1))</f>
        <v/>
      </c>
    </row>
    <row r="563" customFormat="false" ht="15" hidden="false" customHeight="false" outlineLevel="0" collapsed="false">
      <c r="A563" s="25"/>
      <c r="B563" s="19"/>
      <c r="C563" s="19"/>
      <c r="D563" s="26"/>
      <c r="E563" s="27" t="str">
        <f aca="false">IF($B563="","",IFERROR(INDEX(Products!$B$2:$B$201,MATCH($B563,Products!$A$2:$A$201,0)),"Unknown code"))</f>
        <v/>
      </c>
      <c r="F563" s="22" t="str">
        <f aca="false">IF($B563="","",IFERROR(INDEX(Products!$C$2:$C$201,MATCH($B563,Products!$A$2:$A$201,0)),""))</f>
        <v/>
      </c>
      <c r="G563" s="17" t="str">
        <f aca="false">IF($B563="","",IFERROR(INDEX(Products!$D$2:$D$201,MATCH($B563,Products!$A$2:$A$201,0)),0))</f>
        <v/>
      </c>
      <c r="H563" s="17" t="str">
        <f aca="false">IF($B563="","",C563*G563*(1-D563))</f>
        <v/>
      </c>
      <c r="I563" s="17" t="str">
        <f aca="false">IF($B563="","",C563*IFERROR(INDEX(Products!$E$2:$E$201,MATCH($B563,Products!$A$2:$A$201,0)),0))</f>
        <v/>
      </c>
      <c r="J563" s="17" t="str">
        <f aca="false">IF($B563="","",H563-I563)</f>
        <v/>
      </c>
      <c r="K563" s="16" t="str">
        <f aca="false">IF($A563="","",DATE(YEAR($A563),MONTH($A563),1))</f>
        <v/>
      </c>
    </row>
    <row r="564" customFormat="false" ht="15" hidden="false" customHeight="false" outlineLevel="0" collapsed="false">
      <c r="A564" s="25"/>
      <c r="B564" s="19"/>
      <c r="C564" s="19"/>
      <c r="D564" s="26"/>
      <c r="E564" s="27" t="str">
        <f aca="false">IF($B564="","",IFERROR(INDEX(Products!$B$2:$B$201,MATCH($B564,Products!$A$2:$A$201,0)),"Unknown code"))</f>
        <v/>
      </c>
      <c r="F564" s="22" t="str">
        <f aca="false">IF($B564="","",IFERROR(INDEX(Products!$C$2:$C$201,MATCH($B564,Products!$A$2:$A$201,0)),""))</f>
        <v/>
      </c>
      <c r="G564" s="17" t="str">
        <f aca="false">IF($B564="","",IFERROR(INDEX(Products!$D$2:$D$201,MATCH($B564,Products!$A$2:$A$201,0)),0))</f>
        <v/>
      </c>
      <c r="H564" s="17" t="str">
        <f aca="false">IF($B564="","",C564*G564*(1-D564))</f>
        <v/>
      </c>
      <c r="I564" s="17" t="str">
        <f aca="false">IF($B564="","",C564*IFERROR(INDEX(Products!$E$2:$E$201,MATCH($B564,Products!$A$2:$A$201,0)),0))</f>
        <v/>
      </c>
      <c r="J564" s="17" t="str">
        <f aca="false">IF($B564="","",H564-I564)</f>
        <v/>
      </c>
      <c r="K564" s="16" t="str">
        <f aca="false">IF($A564="","",DATE(YEAR($A564),MONTH($A564),1))</f>
        <v/>
      </c>
    </row>
    <row r="565" customFormat="false" ht="15" hidden="false" customHeight="false" outlineLevel="0" collapsed="false">
      <c r="A565" s="25"/>
      <c r="B565" s="19"/>
      <c r="C565" s="19"/>
      <c r="D565" s="26"/>
      <c r="E565" s="27" t="str">
        <f aca="false">IF($B565="","",IFERROR(INDEX(Products!$B$2:$B$201,MATCH($B565,Products!$A$2:$A$201,0)),"Unknown code"))</f>
        <v/>
      </c>
      <c r="F565" s="22" t="str">
        <f aca="false">IF($B565="","",IFERROR(INDEX(Products!$C$2:$C$201,MATCH($B565,Products!$A$2:$A$201,0)),""))</f>
        <v/>
      </c>
      <c r="G565" s="17" t="str">
        <f aca="false">IF($B565="","",IFERROR(INDEX(Products!$D$2:$D$201,MATCH($B565,Products!$A$2:$A$201,0)),0))</f>
        <v/>
      </c>
      <c r="H565" s="17" t="str">
        <f aca="false">IF($B565="","",C565*G565*(1-D565))</f>
        <v/>
      </c>
      <c r="I565" s="17" t="str">
        <f aca="false">IF($B565="","",C565*IFERROR(INDEX(Products!$E$2:$E$201,MATCH($B565,Products!$A$2:$A$201,0)),0))</f>
        <v/>
      </c>
      <c r="J565" s="17" t="str">
        <f aca="false">IF($B565="","",H565-I565)</f>
        <v/>
      </c>
      <c r="K565" s="16" t="str">
        <f aca="false">IF($A565="","",DATE(YEAR($A565),MONTH($A565),1))</f>
        <v/>
      </c>
    </row>
    <row r="566" customFormat="false" ht="15" hidden="false" customHeight="false" outlineLevel="0" collapsed="false">
      <c r="A566" s="25"/>
      <c r="B566" s="19"/>
      <c r="C566" s="19"/>
      <c r="D566" s="26"/>
      <c r="E566" s="27" t="str">
        <f aca="false">IF($B566="","",IFERROR(INDEX(Products!$B$2:$B$201,MATCH($B566,Products!$A$2:$A$201,0)),"Unknown code"))</f>
        <v/>
      </c>
      <c r="F566" s="22" t="str">
        <f aca="false">IF($B566="","",IFERROR(INDEX(Products!$C$2:$C$201,MATCH($B566,Products!$A$2:$A$201,0)),""))</f>
        <v/>
      </c>
      <c r="G566" s="17" t="str">
        <f aca="false">IF($B566="","",IFERROR(INDEX(Products!$D$2:$D$201,MATCH($B566,Products!$A$2:$A$201,0)),0))</f>
        <v/>
      </c>
      <c r="H566" s="17" t="str">
        <f aca="false">IF($B566="","",C566*G566*(1-D566))</f>
        <v/>
      </c>
      <c r="I566" s="17" t="str">
        <f aca="false">IF($B566="","",C566*IFERROR(INDEX(Products!$E$2:$E$201,MATCH($B566,Products!$A$2:$A$201,0)),0))</f>
        <v/>
      </c>
      <c r="J566" s="17" t="str">
        <f aca="false">IF($B566="","",H566-I566)</f>
        <v/>
      </c>
      <c r="K566" s="16" t="str">
        <f aca="false">IF($A566="","",DATE(YEAR($A566),MONTH($A566),1))</f>
        <v/>
      </c>
    </row>
    <row r="567" customFormat="false" ht="15" hidden="false" customHeight="false" outlineLevel="0" collapsed="false">
      <c r="A567" s="25"/>
      <c r="B567" s="19"/>
      <c r="C567" s="19"/>
      <c r="D567" s="26"/>
      <c r="E567" s="27" t="str">
        <f aca="false">IF($B567="","",IFERROR(INDEX(Products!$B$2:$B$201,MATCH($B567,Products!$A$2:$A$201,0)),"Unknown code"))</f>
        <v/>
      </c>
      <c r="F567" s="22" t="str">
        <f aca="false">IF($B567="","",IFERROR(INDEX(Products!$C$2:$C$201,MATCH($B567,Products!$A$2:$A$201,0)),""))</f>
        <v/>
      </c>
      <c r="G567" s="17" t="str">
        <f aca="false">IF($B567="","",IFERROR(INDEX(Products!$D$2:$D$201,MATCH($B567,Products!$A$2:$A$201,0)),0))</f>
        <v/>
      </c>
      <c r="H567" s="17" t="str">
        <f aca="false">IF($B567="","",C567*G567*(1-D567))</f>
        <v/>
      </c>
      <c r="I567" s="17" t="str">
        <f aca="false">IF($B567="","",C567*IFERROR(INDEX(Products!$E$2:$E$201,MATCH($B567,Products!$A$2:$A$201,0)),0))</f>
        <v/>
      </c>
      <c r="J567" s="17" t="str">
        <f aca="false">IF($B567="","",H567-I567)</f>
        <v/>
      </c>
      <c r="K567" s="16" t="str">
        <f aca="false">IF($A567="","",DATE(YEAR($A567),MONTH($A567),1))</f>
        <v/>
      </c>
    </row>
    <row r="568" customFormat="false" ht="15" hidden="false" customHeight="false" outlineLevel="0" collapsed="false">
      <c r="A568" s="25"/>
      <c r="B568" s="19"/>
      <c r="C568" s="19"/>
      <c r="D568" s="26"/>
      <c r="E568" s="27" t="str">
        <f aca="false">IF($B568="","",IFERROR(INDEX(Products!$B$2:$B$201,MATCH($B568,Products!$A$2:$A$201,0)),"Unknown code"))</f>
        <v/>
      </c>
      <c r="F568" s="22" t="str">
        <f aca="false">IF($B568="","",IFERROR(INDEX(Products!$C$2:$C$201,MATCH($B568,Products!$A$2:$A$201,0)),""))</f>
        <v/>
      </c>
      <c r="G568" s="17" t="str">
        <f aca="false">IF($B568="","",IFERROR(INDEX(Products!$D$2:$D$201,MATCH($B568,Products!$A$2:$A$201,0)),0))</f>
        <v/>
      </c>
      <c r="H568" s="17" t="str">
        <f aca="false">IF($B568="","",C568*G568*(1-D568))</f>
        <v/>
      </c>
      <c r="I568" s="17" t="str">
        <f aca="false">IF($B568="","",C568*IFERROR(INDEX(Products!$E$2:$E$201,MATCH($B568,Products!$A$2:$A$201,0)),0))</f>
        <v/>
      </c>
      <c r="J568" s="17" t="str">
        <f aca="false">IF($B568="","",H568-I568)</f>
        <v/>
      </c>
      <c r="K568" s="16" t="str">
        <f aca="false">IF($A568="","",DATE(YEAR($A568),MONTH($A568),1))</f>
        <v/>
      </c>
    </row>
    <row r="569" customFormat="false" ht="15" hidden="false" customHeight="false" outlineLevel="0" collapsed="false">
      <c r="A569" s="25"/>
      <c r="B569" s="19"/>
      <c r="C569" s="19"/>
      <c r="D569" s="26"/>
      <c r="E569" s="27" t="str">
        <f aca="false">IF($B569="","",IFERROR(INDEX(Products!$B$2:$B$201,MATCH($B569,Products!$A$2:$A$201,0)),"Unknown code"))</f>
        <v/>
      </c>
      <c r="F569" s="22" t="str">
        <f aca="false">IF($B569="","",IFERROR(INDEX(Products!$C$2:$C$201,MATCH($B569,Products!$A$2:$A$201,0)),""))</f>
        <v/>
      </c>
      <c r="G569" s="17" t="str">
        <f aca="false">IF($B569="","",IFERROR(INDEX(Products!$D$2:$D$201,MATCH($B569,Products!$A$2:$A$201,0)),0))</f>
        <v/>
      </c>
      <c r="H569" s="17" t="str">
        <f aca="false">IF($B569="","",C569*G569*(1-D569))</f>
        <v/>
      </c>
      <c r="I569" s="17" t="str">
        <f aca="false">IF($B569="","",C569*IFERROR(INDEX(Products!$E$2:$E$201,MATCH($B569,Products!$A$2:$A$201,0)),0))</f>
        <v/>
      </c>
      <c r="J569" s="17" t="str">
        <f aca="false">IF($B569="","",H569-I569)</f>
        <v/>
      </c>
      <c r="K569" s="16" t="str">
        <f aca="false">IF($A569="","",DATE(YEAR($A569),MONTH($A569),1))</f>
        <v/>
      </c>
    </row>
    <row r="570" customFormat="false" ht="15" hidden="false" customHeight="false" outlineLevel="0" collapsed="false">
      <c r="A570" s="25"/>
      <c r="B570" s="19"/>
      <c r="C570" s="19"/>
      <c r="D570" s="26"/>
      <c r="E570" s="27" t="str">
        <f aca="false">IF($B570="","",IFERROR(INDEX(Products!$B$2:$B$201,MATCH($B570,Products!$A$2:$A$201,0)),"Unknown code"))</f>
        <v/>
      </c>
      <c r="F570" s="22" t="str">
        <f aca="false">IF($B570="","",IFERROR(INDEX(Products!$C$2:$C$201,MATCH($B570,Products!$A$2:$A$201,0)),""))</f>
        <v/>
      </c>
      <c r="G570" s="17" t="str">
        <f aca="false">IF($B570="","",IFERROR(INDEX(Products!$D$2:$D$201,MATCH($B570,Products!$A$2:$A$201,0)),0))</f>
        <v/>
      </c>
      <c r="H570" s="17" t="str">
        <f aca="false">IF($B570="","",C570*G570*(1-D570))</f>
        <v/>
      </c>
      <c r="I570" s="17" t="str">
        <f aca="false">IF($B570="","",C570*IFERROR(INDEX(Products!$E$2:$E$201,MATCH($B570,Products!$A$2:$A$201,0)),0))</f>
        <v/>
      </c>
      <c r="J570" s="17" t="str">
        <f aca="false">IF($B570="","",H570-I570)</f>
        <v/>
      </c>
      <c r="K570" s="16" t="str">
        <f aca="false">IF($A570="","",DATE(YEAR($A570),MONTH($A570),1))</f>
        <v/>
      </c>
    </row>
    <row r="571" customFormat="false" ht="15" hidden="false" customHeight="false" outlineLevel="0" collapsed="false">
      <c r="A571" s="25"/>
      <c r="B571" s="19"/>
      <c r="C571" s="19"/>
      <c r="D571" s="26"/>
      <c r="E571" s="27" t="str">
        <f aca="false">IF($B571="","",IFERROR(INDEX(Products!$B$2:$B$201,MATCH($B571,Products!$A$2:$A$201,0)),"Unknown code"))</f>
        <v/>
      </c>
      <c r="F571" s="22" t="str">
        <f aca="false">IF($B571="","",IFERROR(INDEX(Products!$C$2:$C$201,MATCH($B571,Products!$A$2:$A$201,0)),""))</f>
        <v/>
      </c>
      <c r="G571" s="17" t="str">
        <f aca="false">IF($B571="","",IFERROR(INDEX(Products!$D$2:$D$201,MATCH($B571,Products!$A$2:$A$201,0)),0))</f>
        <v/>
      </c>
      <c r="H571" s="17" t="str">
        <f aca="false">IF($B571="","",C571*G571*(1-D571))</f>
        <v/>
      </c>
      <c r="I571" s="17" t="str">
        <f aca="false">IF($B571="","",C571*IFERROR(INDEX(Products!$E$2:$E$201,MATCH($B571,Products!$A$2:$A$201,0)),0))</f>
        <v/>
      </c>
      <c r="J571" s="17" t="str">
        <f aca="false">IF($B571="","",H571-I571)</f>
        <v/>
      </c>
      <c r="K571" s="16" t="str">
        <f aca="false">IF($A571="","",DATE(YEAR($A571),MONTH($A571),1))</f>
        <v/>
      </c>
    </row>
    <row r="572" customFormat="false" ht="15" hidden="false" customHeight="false" outlineLevel="0" collapsed="false">
      <c r="A572" s="25"/>
      <c r="B572" s="19"/>
      <c r="C572" s="19"/>
      <c r="D572" s="26"/>
      <c r="E572" s="27" t="str">
        <f aca="false">IF($B572="","",IFERROR(INDEX(Products!$B$2:$B$201,MATCH($B572,Products!$A$2:$A$201,0)),"Unknown code"))</f>
        <v/>
      </c>
      <c r="F572" s="22" t="str">
        <f aca="false">IF($B572="","",IFERROR(INDEX(Products!$C$2:$C$201,MATCH($B572,Products!$A$2:$A$201,0)),""))</f>
        <v/>
      </c>
      <c r="G572" s="17" t="str">
        <f aca="false">IF($B572="","",IFERROR(INDEX(Products!$D$2:$D$201,MATCH($B572,Products!$A$2:$A$201,0)),0))</f>
        <v/>
      </c>
      <c r="H572" s="17" t="str">
        <f aca="false">IF($B572="","",C572*G572*(1-D572))</f>
        <v/>
      </c>
      <c r="I572" s="17" t="str">
        <f aca="false">IF($B572="","",C572*IFERROR(INDEX(Products!$E$2:$E$201,MATCH($B572,Products!$A$2:$A$201,0)),0))</f>
        <v/>
      </c>
      <c r="J572" s="17" t="str">
        <f aca="false">IF($B572="","",H572-I572)</f>
        <v/>
      </c>
      <c r="K572" s="16" t="str">
        <f aca="false">IF($A572="","",DATE(YEAR($A572),MONTH($A572),1))</f>
        <v/>
      </c>
    </row>
    <row r="573" customFormat="false" ht="15" hidden="false" customHeight="false" outlineLevel="0" collapsed="false">
      <c r="A573" s="25"/>
      <c r="B573" s="19"/>
      <c r="C573" s="19"/>
      <c r="D573" s="26"/>
      <c r="E573" s="27" t="str">
        <f aca="false">IF($B573="","",IFERROR(INDEX(Products!$B$2:$B$201,MATCH($B573,Products!$A$2:$A$201,0)),"Unknown code"))</f>
        <v/>
      </c>
      <c r="F573" s="22" t="str">
        <f aca="false">IF($B573="","",IFERROR(INDEX(Products!$C$2:$C$201,MATCH($B573,Products!$A$2:$A$201,0)),""))</f>
        <v/>
      </c>
      <c r="G573" s="17" t="str">
        <f aca="false">IF($B573="","",IFERROR(INDEX(Products!$D$2:$D$201,MATCH($B573,Products!$A$2:$A$201,0)),0))</f>
        <v/>
      </c>
      <c r="H573" s="17" t="str">
        <f aca="false">IF($B573="","",C573*G573*(1-D573))</f>
        <v/>
      </c>
      <c r="I573" s="17" t="str">
        <f aca="false">IF($B573="","",C573*IFERROR(INDEX(Products!$E$2:$E$201,MATCH($B573,Products!$A$2:$A$201,0)),0))</f>
        <v/>
      </c>
      <c r="J573" s="17" t="str">
        <f aca="false">IF($B573="","",H573-I573)</f>
        <v/>
      </c>
      <c r="K573" s="16" t="str">
        <f aca="false">IF($A573="","",DATE(YEAR($A573),MONTH($A573),1))</f>
        <v/>
      </c>
    </row>
    <row r="574" customFormat="false" ht="15" hidden="false" customHeight="false" outlineLevel="0" collapsed="false">
      <c r="A574" s="25"/>
      <c r="B574" s="19"/>
      <c r="C574" s="19"/>
      <c r="D574" s="26"/>
      <c r="E574" s="27" t="str">
        <f aca="false">IF($B574="","",IFERROR(INDEX(Products!$B$2:$B$201,MATCH($B574,Products!$A$2:$A$201,0)),"Unknown code"))</f>
        <v/>
      </c>
      <c r="F574" s="22" t="str">
        <f aca="false">IF($B574="","",IFERROR(INDEX(Products!$C$2:$C$201,MATCH($B574,Products!$A$2:$A$201,0)),""))</f>
        <v/>
      </c>
      <c r="G574" s="17" t="str">
        <f aca="false">IF($B574="","",IFERROR(INDEX(Products!$D$2:$D$201,MATCH($B574,Products!$A$2:$A$201,0)),0))</f>
        <v/>
      </c>
      <c r="H574" s="17" t="str">
        <f aca="false">IF($B574="","",C574*G574*(1-D574))</f>
        <v/>
      </c>
      <c r="I574" s="17" t="str">
        <f aca="false">IF($B574="","",C574*IFERROR(INDEX(Products!$E$2:$E$201,MATCH($B574,Products!$A$2:$A$201,0)),0))</f>
        <v/>
      </c>
      <c r="J574" s="17" t="str">
        <f aca="false">IF($B574="","",H574-I574)</f>
        <v/>
      </c>
      <c r="K574" s="16" t="str">
        <f aca="false">IF($A574="","",DATE(YEAR($A574),MONTH($A574),1))</f>
        <v/>
      </c>
    </row>
    <row r="575" customFormat="false" ht="15" hidden="false" customHeight="false" outlineLevel="0" collapsed="false">
      <c r="A575" s="25"/>
      <c r="B575" s="19"/>
      <c r="C575" s="19"/>
      <c r="D575" s="26"/>
      <c r="E575" s="27" t="str">
        <f aca="false">IF($B575="","",IFERROR(INDEX(Products!$B$2:$B$201,MATCH($B575,Products!$A$2:$A$201,0)),"Unknown code"))</f>
        <v/>
      </c>
      <c r="F575" s="22" t="str">
        <f aca="false">IF($B575="","",IFERROR(INDEX(Products!$C$2:$C$201,MATCH($B575,Products!$A$2:$A$201,0)),""))</f>
        <v/>
      </c>
      <c r="G575" s="17" t="str">
        <f aca="false">IF($B575="","",IFERROR(INDEX(Products!$D$2:$D$201,MATCH($B575,Products!$A$2:$A$201,0)),0))</f>
        <v/>
      </c>
      <c r="H575" s="17" t="str">
        <f aca="false">IF($B575="","",C575*G575*(1-D575))</f>
        <v/>
      </c>
      <c r="I575" s="17" t="str">
        <f aca="false">IF($B575="","",C575*IFERROR(INDEX(Products!$E$2:$E$201,MATCH($B575,Products!$A$2:$A$201,0)),0))</f>
        <v/>
      </c>
      <c r="J575" s="17" t="str">
        <f aca="false">IF($B575="","",H575-I575)</f>
        <v/>
      </c>
      <c r="K575" s="16" t="str">
        <f aca="false">IF($A575="","",DATE(YEAR($A575),MONTH($A575),1))</f>
        <v/>
      </c>
    </row>
    <row r="576" customFormat="false" ht="15" hidden="false" customHeight="false" outlineLevel="0" collapsed="false">
      <c r="A576" s="25"/>
      <c r="B576" s="19"/>
      <c r="C576" s="19"/>
      <c r="D576" s="26"/>
      <c r="E576" s="27" t="str">
        <f aca="false">IF($B576="","",IFERROR(INDEX(Products!$B$2:$B$201,MATCH($B576,Products!$A$2:$A$201,0)),"Unknown code"))</f>
        <v/>
      </c>
      <c r="F576" s="22" t="str">
        <f aca="false">IF($B576="","",IFERROR(INDEX(Products!$C$2:$C$201,MATCH($B576,Products!$A$2:$A$201,0)),""))</f>
        <v/>
      </c>
      <c r="G576" s="17" t="str">
        <f aca="false">IF($B576="","",IFERROR(INDEX(Products!$D$2:$D$201,MATCH($B576,Products!$A$2:$A$201,0)),0))</f>
        <v/>
      </c>
      <c r="H576" s="17" t="str">
        <f aca="false">IF($B576="","",C576*G576*(1-D576))</f>
        <v/>
      </c>
      <c r="I576" s="17" t="str">
        <f aca="false">IF($B576="","",C576*IFERROR(INDEX(Products!$E$2:$E$201,MATCH($B576,Products!$A$2:$A$201,0)),0))</f>
        <v/>
      </c>
      <c r="J576" s="17" t="str">
        <f aca="false">IF($B576="","",H576-I576)</f>
        <v/>
      </c>
      <c r="K576" s="16" t="str">
        <f aca="false">IF($A576="","",DATE(YEAR($A576),MONTH($A576),1))</f>
        <v/>
      </c>
    </row>
    <row r="577" customFormat="false" ht="15" hidden="false" customHeight="false" outlineLevel="0" collapsed="false">
      <c r="A577" s="25"/>
      <c r="B577" s="19"/>
      <c r="C577" s="19"/>
      <c r="D577" s="26"/>
      <c r="E577" s="27" t="str">
        <f aca="false">IF($B577="","",IFERROR(INDEX(Products!$B$2:$B$201,MATCH($B577,Products!$A$2:$A$201,0)),"Unknown code"))</f>
        <v/>
      </c>
      <c r="F577" s="22" t="str">
        <f aca="false">IF($B577="","",IFERROR(INDEX(Products!$C$2:$C$201,MATCH($B577,Products!$A$2:$A$201,0)),""))</f>
        <v/>
      </c>
      <c r="G577" s="17" t="str">
        <f aca="false">IF($B577="","",IFERROR(INDEX(Products!$D$2:$D$201,MATCH($B577,Products!$A$2:$A$201,0)),0))</f>
        <v/>
      </c>
      <c r="H577" s="17" t="str">
        <f aca="false">IF($B577="","",C577*G577*(1-D577))</f>
        <v/>
      </c>
      <c r="I577" s="17" t="str">
        <f aca="false">IF($B577="","",C577*IFERROR(INDEX(Products!$E$2:$E$201,MATCH($B577,Products!$A$2:$A$201,0)),0))</f>
        <v/>
      </c>
      <c r="J577" s="17" t="str">
        <f aca="false">IF($B577="","",H577-I577)</f>
        <v/>
      </c>
      <c r="K577" s="16" t="str">
        <f aca="false">IF($A577="","",DATE(YEAR($A577),MONTH($A577),1))</f>
        <v/>
      </c>
    </row>
    <row r="578" customFormat="false" ht="15" hidden="false" customHeight="false" outlineLevel="0" collapsed="false">
      <c r="A578" s="25"/>
      <c r="B578" s="19"/>
      <c r="C578" s="19"/>
      <c r="D578" s="26"/>
      <c r="E578" s="27" t="str">
        <f aca="false">IF($B578="","",IFERROR(INDEX(Products!$B$2:$B$201,MATCH($B578,Products!$A$2:$A$201,0)),"Unknown code"))</f>
        <v/>
      </c>
      <c r="F578" s="22" t="str">
        <f aca="false">IF($B578="","",IFERROR(INDEX(Products!$C$2:$C$201,MATCH($B578,Products!$A$2:$A$201,0)),""))</f>
        <v/>
      </c>
      <c r="G578" s="17" t="str">
        <f aca="false">IF($B578="","",IFERROR(INDEX(Products!$D$2:$D$201,MATCH($B578,Products!$A$2:$A$201,0)),0))</f>
        <v/>
      </c>
      <c r="H578" s="17" t="str">
        <f aca="false">IF($B578="","",C578*G578*(1-D578))</f>
        <v/>
      </c>
      <c r="I578" s="17" t="str">
        <f aca="false">IF($B578="","",C578*IFERROR(INDEX(Products!$E$2:$E$201,MATCH($B578,Products!$A$2:$A$201,0)),0))</f>
        <v/>
      </c>
      <c r="J578" s="17" t="str">
        <f aca="false">IF($B578="","",H578-I578)</f>
        <v/>
      </c>
      <c r="K578" s="16" t="str">
        <f aca="false">IF($A578="","",DATE(YEAR($A578),MONTH($A578),1))</f>
        <v/>
      </c>
    </row>
    <row r="579" customFormat="false" ht="15" hidden="false" customHeight="false" outlineLevel="0" collapsed="false">
      <c r="A579" s="25"/>
      <c r="B579" s="19"/>
      <c r="C579" s="19"/>
      <c r="D579" s="26"/>
      <c r="E579" s="27" t="str">
        <f aca="false">IF($B579="","",IFERROR(INDEX(Products!$B$2:$B$201,MATCH($B579,Products!$A$2:$A$201,0)),"Unknown code"))</f>
        <v/>
      </c>
      <c r="F579" s="22" t="str">
        <f aca="false">IF($B579="","",IFERROR(INDEX(Products!$C$2:$C$201,MATCH($B579,Products!$A$2:$A$201,0)),""))</f>
        <v/>
      </c>
      <c r="G579" s="17" t="str">
        <f aca="false">IF($B579="","",IFERROR(INDEX(Products!$D$2:$D$201,MATCH($B579,Products!$A$2:$A$201,0)),0))</f>
        <v/>
      </c>
      <c r="H579" s="17" t="str">
        <f aca="false">IF($B579="","",C579*G579*(1-D579))</f>
        <v/>
      </c>
      <c r="I579" s="17" t="str">
        <f aca="false">IF($B579="","",C579*IFERROR(INDEX(Products!$E$2:$E$201,MATCH($B579,Products!$A$2:$A$201,0)),0))</f>
        <v/>
      </c>
      <c r="J579" s="17" t="str">
        <f aca="false">IF($B579="","",H579-I579)</f>
        <v/>
      </c>
      <c r="K579" s="16" t="str">
        <f aca="false">IF($A579="","",DATE(YEAR($A579),MONTH($A579),1))</f>
        <v/>
      </c>
    </row>
    <row r="580" customFormat="false" ht="15" hidden="false" customHeight="false" outlineLevel="0" collapsed="false">
      <c r="A580" s="25"/>
      <c r="B580" s="19"/>
      <c r="C580" s="19"/>
      <c r="D580" s="26"/>
      <c r="E580" s="27" t="str">
        <f aca="false">IF($B580="","",IFERROR(INDEX(Products!$B$2:$B$201,MATCH($B580,Products!$A$2:$A$201,0)),"Unknown code"))</f>
        <v/>
      </c>
      <c r="F580" s="22" t="str">
        <f aca="false">IF($B580="","",IFERROR(INDEX(Products!$C$2:$C$201,MATCH($B580,Products!$A$2:$A$201,0)),""))</f>
        <v/>
      </c>
      <c r="G580" s="17" t="str">
        <f aca="false">IF($B580="","",IFERROR(INDEX(Products!$D$2:$D$201,MATCH($B580,Products!$A$2:$A$201,0)),0))</f>
        <v/>
      </c>
      <c r="H580" s="17" t="str">
        <f aca="false">IF($B580="","",C580*G580*(1-D580))</f>
        <v/>
      </c>
      <c r="I580" s="17" t="str">
        <f aca="false">IF($B580="","",C580*IFERROR(INDEX(Products!$E$2:$E$201,MATCH($B580,Products!$A$2:$A$201,0)),0))</f>
        <v/>
      </c>
      <c r="J580" s="17" t="str">
        <f aca="false">IF($B580="","",H580-I580)</f>
        <v/>
      </c>
      <c r="K580" s="16" t="str">
        <f aca="false">IF($A580="","",DATE(YEAR($A580),MONTH($A580),1))</f>
        <v/>
      </c>
    </row>
    <row r="581" customFormat="false" ht="15" hidden="false" customHeight="false" outlineLevel="0" collapsed="false">
      <c r="A581" s="25"/>
      <c r="B581" s="19"/>
      <c r="C581" s="19"/>
      <c r="D581" s="26"/>
      <c r="E581" s="27" t="str">
        <f aca="false">IF($B581="","",IFERROR(INDEX(Products!$B$2:$B$201,MATCH($B581,Products!$A$2:$A$201,0)),"Unknown code"))</f>
        <v/>
      </c>
      <c r="F581" s="22" t="str">
        <f aca="false">IF($B581="","",IFERROR(INDEX(Products!$C$2:$C$201,MATCH($B581,Products!$A$2:$A$201,0)),""))</f>
        <v/>
      </c>
      <c r="G581" s="17" t="str">
        <f aca="false">IF($B581="","",IFERROR(INDEX(Products!$D$2:$D$201,MATCH($B581,Products!$A$2:$A$201,0)),0))</f>
        <v/>
      </c>
      <c r="H581" s="17" t="str">
        <f aca="false">IF($B581="","",C581*G581*(1-D581))</f>
        <v/>
      </c>
      <c r="I581" s="17" t="str">
        <f aca="false">IF($B581="","",C581*IFERROR(INDEX(Products!$E$2:$E$201,MATCH($B581,Products!$A$2:$A$201,0)),0))</f>
        <v/>
      </c>
      <c r="J581" s="17" t="str">
        <f aca="false">IF($B581="","",H581-I581)</f>
        <v/>
      </c>
      <c r="K581" s="16" t="str">
        <f aca="false">IF($A581="","",DATE(YEAR($A581),MONTH($A581),1))</f>
        <v/>
      </c>
    </row>
    <row r="582" customFormat="false" ht="15" hidden="false" customHeight="false" outlineLevel="0" collapsed="false">
      <c r="A582" s="25"/>
      <c r="B582" s="19"/>
      <c r="C582" s="19"/>
      <c r="D582" s="26"/>
      <c r="E582" s="27" t="str">
        <f aca="false">IF($B582="","",IFERROR(INDEX(Products!$B$2:$B$201,MATCH($B582,Products!$A$2:$A$201,0)),"Unknown code"))</f>
        <v/>
      </c>
      <c r="F582" s="22" t="str">
        <f aca="false">IF($B582="","",IFERROR(INDEX(Products!$C$2:$C$201,MATCH($B582,Products!$A$2:$A$201,0)),""))</f>
        <v/>
      </c>
      <c r="G582" s="17" t="str">
        <f aca="false">IF($B582="","",IFERROR(INDEX(Products!$D$2:$D$201,MATCH($B582,Products!$A$2:$A$201,0)),0))</f>
        <v/>
      </c>
      <c r="H582" s="17" t="str">
        <f aca="false">IF($B582="","",C582*G582*(1-D582))</f>
        <v/>
      </c>
      <c r="I582" s="17" t="str">
        <f aca="false">IF($B582="","",C582*IFERROR(INDEX(Products!$E$2:$E$201,MATCH($B582,Products!$A$2:$A$201,0)),0))</f>
        <v/>
      </c>
      <c r="J582" s="17" t="str">
        <f aca="false">IF($B582="","",H582-I582)</f>
        <v/>
      </c>
      <c r="K582" s="16" t="str">
        <f aca="false">IF($A582="","",DATE(YEAR($A582),MONTH($A582),1))</f>
        <v/>
      </c>
    </row>
    <row r="583" customFormat="false" ht="15" hidden="false" customHeight="false" outlineLevel="0" collapsed="false">
      <c r="A583" s="25"/>
      <c r="B583" s="19"/>
      <c r="C583" s="19"/>
      <c r="D583" s="26"/>
      <c r="E583" s="27" t="str">
        <f aca="false">IF($B583="","",IFERROR(INDEX(Products!$B$2:$B$201,MATCH($B583,Products!$A$2:$A$201,0)),"Unknown code"))</f>
        <v/>
      </c>
      <c r="F583" s="22" t="str">
        <f aca="false">IF($B583="","",IFERROR(INDEX(Products!$C$2:$C$201,MATCH($B583,Products!$A$2:$A$201,0)),""))</f>
        <v/>
      </c>
      <c r="G583" s="17" t="str">
        <f aca="false">IF($B583="","",IFERROR(INDEX(Products!$D$2:$D$201,MATCH($B583,Products!$A$2:$A$201,0)),0))</f>
        <v/>
      </c>
      <c r="H583" s="17" t="str">
        <f aca="false">IF($B583="","",C583*G583*(1-D583))</f>
        <v/>
      </c>
      <c r="I583" s="17" t="str">
        <f aca="false">IF($B583="","",C583*IFERROR(INDEX(Products!$E$2:$E$201,MATCH($B583,Products!$A$2:$A$201,0)),0))</f>
        <v/>
      </c>
      <c r="J583" s="17" t="str">
        <f aca="false">IF($B583="","",H583-I583)</f>
        <v/>
      </c>
      <c r="K583" s="16" t="str">
        <f aca="false">IF($A583="","",DATE(YEAR($A583),MONTH($A583),1))</f>
        <v/>
      </c>
    </row>
    <row r="584" customFormat="false" ht="15" hidden="false" customHeight="false" outlineLevel="0" collapsed="false">
      <c r="A584" s="25"/>
      <c r="B584" s="19"/>
      <c r="C584" s="19"/>
      <c r="D584" s="26"/>
      <c r="E584" s="27" t="str">
        <f aca="false">IF($B584="","",IFERROR(INDEX(Products!$B$2:$B$201,MATCH($B584,Products!$A$2:$A$201,0)),"Unknown code"))</f>
        <v/>
      </c>
      <c r="F584" s="22" t="str">
        <f aca="false">IF($B584="","",IFERROR(INDEX(Products!$C$2:$C$201,MATCH($B584,Products!$A$2:$A$201,0)),""))</f>
        <v/>
      </c>
      <c r="G584" s="17" t="str">
        <f aca="false">IF($B584="","",IFERROR(INDEX(Products!$D$2:$D$201,MATCH($B584,Products!$A$2:$A$201,0)),0))</f>
        <v/>
      </c>
      <c r="H584" s="17" t="str">
        <f aca="false">IF($B584="","",C584*G584*(1-D584))</f>
        <v/>
      </c>
      <c r="I584" s="17" t="str">
        <f aca="false">IF($B584="","",C584*IFERROR(INDEX(Products!$E$2:$E$201,MATCH($B584,Products!$A$2:$A$201,0)),0))</f>
        <v/>
      </c>
      <c r="J584" s="17" t="str">
        <f aca="false">IF($B584="","",H584-I584)</f>
        <v/>
      </c>
      <c r="K584" s="16" t="str">
        <f aca="false">IF($A584="","",DATE(YEAR($A584),MONTH($A584),1))</f>
        <v/>
      </c>
    </row>
    <row r="585" customFormat="false" ht="15" hidden="false" customHeight="false" outlineLevel="0" collapsed="false">
      <c r="A585" s="25"/>
      <c r="B585" s="19"/>
      <c r="C585" s="19"/>
      <c r="D585" s="26"/>
      <c r="E585" s="27" t="str">
        <f aca="false">IF($B585="","",IFERROR(INDEX(Products!$B$2:$B$201,MATCH($B585,Products!$A$2:$A$201,0)),"Unknown code"))</f>
        <v/>
      </c>
      <c r="F585" s="22" t="str">
        <f aca="false">IF($B585="","",IFERROR(INDEX(Products!$C$2:$C$201,MATCH($B585,Products!$A$2:$A$201,0)),""))</f>
        <v/>
      </c>
      <c r="G585" s="17" t="str">
        <f aca="false">IF($B585="","",IFERROR(INDEX(Products!$D$2:$D$201,MATCH($B585,Products!$A$2:$A$201,0)),0))</f>
        <v/>
      </c>
      <c r="H585" s="17" t="str">
        <f aca="false">IF($B585="","",C585*G585*(1-D585))</f>
        <v/>
      </c>
      <c r="I585" s="17" t="str">
        <f aca="false">IF($B585="","",C585*IFERROR(INDEX(Products!$E$2:$E$201,MATCH($B585,Products!$A$2:$A$201,0)),0))</f>
        <v/>
      </c>
      <c r="J585" s="17" t="str">
        <f aca="false">IF($B585="","",H585-I585)</f>
        <v/>
      </c>
      <c r="K585" s="16" t="str">
        <f aca="false">IF($A585="","",DATE(YEAR($A585),MONTH($A585),1))</f>
        <v/>
      </c>
    </row>
    <row r="586" customFormat="false" ht="15" hidden="false" customHeight="false" outlineLevel="0" collapsed="false">
      <c r="A586" s="25"/>
      <c r="B586" s="19"/>
      <c r="C586" s="19"/>
      <c r="D586" s="26"/>
      <c r="E586" s="27" t="str">
        <f aca="false">IF($B586="","",IFERROR(INDEX(Products!$B$2:$B$201,MATCH($B586,Products!$A$2:$A$201,0)),"Unknown code"))</f>
        <v/>
      </c>
      <c r="F586" s="22" t="str">
        <f aca="false">IF($B586="","",IFERROR(INDEX(Products!$C$2:$C$201,MATCH($B586,Products!$A$2:$A$201,0)),""))</f>
        <v/>
      </c>
      <c r="G586" s="17" t="str">
        <f aca="false">IF($B586="","",IFERROR(INDEX(Products!$D$2:$D$201,MATCH($B586,Products!$A$2:$A$201,0)),0))</f>
        <v/>
      </c>
      <c r="H586" s="17" t="str">
        <f aca="false">IF($B586="","",C586*G586*(1-D586))</f>
        <v/>
      </c>
      <c r="I586" s="17" t="str">
        <f aca="false">IF($B586="","",C586*IFERROR(INDEX(Products!$E$2:$E$201,MATCH($B586,Products!$A$2:$A$201,0)),0))</f>
        <v/>
      </c>
      <c r="J586" s="17" t="str">
        <f aca="false">IF($B586="","",H586-I586)</f>
        <v/>
      </c>
      <c r="K586" s="16" t="str">
        <f aca="false">IF($A586="","",DATE(YEAR($A586),MONTH($A586),1))</f>
        <v/>
      </c>
    </row>
    <row r="587" customFormat="false" ht="15" hidden="false" customHeight="false" outlineLevel="0" collapsed="false">
      <c r="A587" s="25"/>
      <c r="B587" s="19"/>
      <c r="C587" s="19"/>
      <c r="D587" s="26"/>
      <c r="E587" s="27" t="str">
        <f aca="false">IF($B587="","",IFERROR(INDEX(Products!$B$2:$B$201,MATCH($B587,Products!$A$2:$A$201,0)),"Unknown code"))</f>
        <v/>
      </c>
      <c r="F587" s="22" t="str">
        <f aca="false">IF($B587="","",IFERROR(INDEX(Products!$C$2:$C$201,MATCH($B587,Products!$A$2:$A$201,0)),""))</f>
        <v/>
      </c>
      <c r="G587" s="17" t="str">
        <f aca="false">IF($B587="","",IFERROR(INDEX(Products!$D$2:$D$201,MATCH($B587,Products!$A$2:$A$201,0)),0))</f>
        <v/>
      </c>
      <c r="H587" s="17" t="str">
        <f aca="false">IF($B587="","",C587*G587*(1-D587))</f>
        <v/>
      </c>
      <c r="I587" s="17" t="str">
        <f aca="false">IF($B587="","",C587*IFERROR(INDEX(Products!$E$2:$E$201,MATCH($B587,Products!$A$2:$A$201,0)),0))</f>
        <v/>
      </c>
      <c r="J587" s="17" t="str">
        <f aca="false">IF($B587="","",H587-I587)</f>
        <v/>
      </c>
      <c r="K587" s="16" t="str">
        <f aca="false">IF($A587="","",DATE(YEAR($A587),MONTH($A587),1))</f>
        <v/>
      </c>
    </row>
    <row r="588" customFormat="false" ht="15" hidden="false" customHeight="false" outlineLevel="0" collapsed="false">
      <c r="A588" s="25"/>
      <c r="B588" s="19"/>
      <c r="C588" s="19"/>
      <c r="D588" s="26"/>
      <c r="E588" s="27" t="str">
        <f aca="false">IF($B588="","",IFERROR(INDEX(Products!$B$2:$B$201,MATCH($B588,Products!$A$2:$A$201,0)),"Unknown code"))</f>
        <v/>
      </c>
      <c r="F588" s="22" t="str">
        <f aca="false">IF($B588="","",IFERROR(INDEX(Products!$C$2:$C$201,MATCH($B588,Products!$A$2:$A$201,0)),""))</f>
        <v/>
      </c>
      <c r="G588" s="17" t="str">
        <f aca="false">IF($B588="","",IFERROR(INDEX(Products!$D$2:$D$201,MATCH($B588,Products!$A$2:$A$201,0)),0))</f>
        <v/>
      </c>
      <c r="H588" s="17" t="str">
        <f aca="false">IF($B588="","",C588*G588*(1-D588))</f>
        <v/>
      </c>
      <c r="I588" s="17" t="str">
        <f aca="false">IF($B588="","",C588*IFERROR(INDEX(Products!$E$2:$E$201,MATCH($B588,Products!$A$2:$A$201,0)),0))</f>
        <v/>
      </c>
      <c r="J588" s="17" t="str">
        <f aca="false">IF($B588="","",H588-I588)</f>
        <v/>
      </c>
      <c r="K588" s="16" t="str">
        <f aca="false">IF($A588="","",DATE(YEAR($A588),MONTH($A588),1))</f>
        <v/>
      </c>
    </row>
    <row r="589" customFormat="false" ht="15" hidden="false" customHeight="false" outlineLevel="0" collapsed="false">
      <c r="A589" s="25"/>
      <c r="B589" s="19"/>
      <c r="C589" s="19"/>
      <c r="D589" s="26"/>
      <c r="E589" s="27" t="str">
        <f aca="false">IF($B589="","",IFERROR(INDEX(Products!$B$2:$B$201,MATCH($B589,Products!$A$2:$A$201,0)),"Unknown code"))</f>
        <v/>
      </c>
      <c r="F589" s="22" t="str">
        <f aca="false">IF($B589="","",IFERROR(INDEX(Products!$C$2:$C$201,MATCH($B589,Products!$A$2:$A$201,0)),""))</f>
        <v/>
      </c>
      <c r="G589" s="17" t="str">
        <f aca="false">IF($B589="","",IFERROR(INDEX(Products!$D$2:$D$201,MATCH($B589,Products!$A$2:$A$201,0)),0))</f>
        <v/>
      </c>
      <c r="H589" s="17" t="str">
        <f aca="false">IF($B589="","",C589*G589*(1-D589))</f>
        <v/>
      </c>
      <c r="I589" s="17" t="str">
        <f aca="false">IF($B589="","",C589*IFERROR(INDEX(Products!$E$2:$E$201,MATCH($B589,Products!$A$2:$A$201,0)),0))</f>
        <v/>
      </c>
      <c r="J589" s="17" t="str">
        <f aca="false">IF($B589="","",H589-I589)</f>
        <v/>
      </c>
      <c r="K589" s="16" t="str">
        <f aca="false">IF($A589="","",DATE(YEAR($A589),MONTH($A589),1))</f>
        <v/>
      </c>
    </row>
    <row r="590" customFormat="false" ht="15" hidden="false" customHeight="false" outlineLevel="0" collapsed="false">
      <c r="A590" s="25"/>
      <c r="B590" s="19"/>
      <c r="C590" s="19"/>
      <c r="D590" s="26"/>
      <c r="E590" s="27" t="str">
        <f aca="false">IF($B590="","",IFERROR(INDEX(Products!$B$2:$B$201,MATCH($B590,Products!$A$2:$A$201,0)),"Unknown code"))</f>
        <v/>
      </c>
      <c r="F590" s="22" t="str">
        <f aca="false">IF($B590="","",IFERROR(INDEX(Products!$C$2:$C$201,MATCH($B590,Products!$A$2:$A$201,0)),""))</f>
        <v/>
      </c>
      <c r="G590" s="17" t="str">
        <f aca="false">IF($B590="","",IFERROR(INDEX(Products!$D$2:$D$201,MATCH($B590,Products!$A$2:$A$201,0)),0))</f>
        <v/>
      </c>
      <c r="H590" s="17" t="str">
        <f aca="false">IF($B590="","",C590*G590*(1-D590))</f>
        <v/>
      </c>
      <c r="I590" s="17" t="str">
        <f aca="false">IF($B590="","",C590*IFERROR(INDEX(Products!$E$2:$E$201,MATCH($B590,Products!$A$2:$A$201,0)),0))</f>
        <v/>
      </c>
      <c r="J590" s="17" t="str">
        <f aca="false">IF($B590="","",H590-I590)</f>
        <v/>
      </c>
      <c r="K590" s="16" t="str">
        <f aca="false">IF($A590="","",DATE(YEAR($A590),MONTH($A590),1))</f>
        <v/>
      </c>
    </row>
    <row r="591" customFormat="false" ht="15" hidden="false" customHeight="false" outlineLevel="0" collapsed="false">
      <c r="A591" s="25"/>
      <c r="B591" s="19"/>
      <c r="C591" s="19"/>
      <c r="D591" s="26"/>
      <c r="E591" s="27" t="str">
        <f aca="false">IF($B591="","",IFERROR(INDEX(Products!$B$2:$B$201,MATCH($B591,Products!$A$2:$A$201,0)),"Unknown code"))</f>
        <v/>
      </c>
      <c r="F591" s="22" t="str">
        <f aca="false">IF($B591="","",IFERROR(INDEX(Products!$C$2:$C$201,MATCH($B591,Products!$A$2:$A$201,0)),""))</f>
        <v/>
      </c>
      <c r="G591" s="17" t="str">
        <f aca="false">IF($B591="","",IFERROR(INDEX(Products!$D$2:$D$201,MATCH($B591,Products!$A$2:$A$201,0)),0))</f>
        <v/>
      </c>
      <c r="H591" s="17" t="str">
        <f aca="false">IF($B591="","",C591*G591*(1-D591))</f>
        <v/>
      </c>
      <c r="I591" s="17" t="str">
        <f aca="false">IF($B591="","",C591*IFERROR(INDEX(Products!$E$2:$E$201,MATCH($B591,Products!$A$2:$A$201,0)),0))</f>
        <v/>
      </c>
      <c r="J591" s="17" t="str">
        <f aca="false">IF($B591="","",H591-I591)</f>
        <v/>
      </c>
      <c r="K591" s="16" t="str">
        <f aca="false">IF($A591="","",DATE(YEAR($A591),MONTH($A591),1))</f>
        <v/>
      </c>
    </row>
    <row r="592" customFormat="false" ht="15" hidden="false" customHeight="false" outlineLevel="0" collapsed="false">
      <c r="A592" s="25"/>
      <c r="B592" s="19"/>
      <c r="C592" s="19"/>
      <c r="D592" s="26"/>
      <c r="E592" s="27" t="str">
        <f aca="false">IF($B592="","",IFERROR(INDEX(Products!$B$2:$B$201,MATCH($B592,Products!$A$2:$A$201,0)),"Unknown code"))</f>
        <v/>
      </c>
      <c r="F592" s="22" t="str">
        <f aca="false">IF($B592="","",IFERROR(INDEX(Products!$C$2:$C$201,MATCH($B592,Products!$A$2:$A$201,0)),""))</f>
        <v/>
      </c>
      <c r="G592" s="17" t="str">
        <f aca="false">IF($B592="","",IFERROR(INDEX(Products!$D$2:$D$201,MATCH($B592,Products!$A$2:$A$201,0)),0))</f>
        <v/>
      </c>
      <c r="H592" s="17" t="str">
        <f aca="false">IF($B592="","",C592*G592*(1-D592))</f>
        <v/>
      </c>
      <c r="I592" s="17" t="str">
        <f aca="false">IF($B592="","",C592*IFERROR(INDEX(Products!$E$2:$E$201,MATCH($B592,Products!$A$2:$A$201,0)),0))</f>
        <v/>
      </c>
      <c r="J592" s="17" t="str">
        <f aca="false">IF($B592="","",H592-I592)</f>
        <v/>
      </c>
      <c r="K592" s="16" t="str">
        <f aca="false">IF($A592="","",DATE(YEAR($A592),MONTH($A592),1))</f>
        <v/>
      </c>
    </row>
    <row r="593" customFormat="false" ht="15" hidden="false" customHeight="false" outlineLevel="0" collapsed="false">
      <c r="A593" s="25"/>
      <c r="B593" s="19"/>
      <c r="C593" s="19"/>
      <c r="D593" s="26"/>
      <c r="E593" s="27" t="str">
        <f aca="false">IF($B593="","",IFERROR(INDEX(Products!$B$2:$B$201,MATCH($B593,Products!$A$2:$A$201,0)),"Unknown code"))</f>
        <v/>
      </c>
      <c r="F593" s="22" t="str">
        <f aca="false">IF($B593="","",IFERROR(INDEX(Products!$C$2:$C$201,MATCH($B593,Products!$A$2:$A$201,0)),""))</f>
        <v/>
      </c>
      <c r="G593" s="17" t="str">
        <f aca="false">IF($B593="","",IFERROR(INDEX(Products!$D$2:$D$201,MATCH($B593,Products!$A$2:$A$201,0)),0))</f>
        <v/>
      </c>
      <c r="H593" s="17" t="str">
        <f aca="false">IF($B593="","",C593*G593*(1-D593))</f>
        <v/>
      </c>
      <c r="I593" s="17" t="str">
        <f aca="false">IF($B593="","",C593*IFERROR(INDEX(Products!$E$2:$E$201,MATCH($B593,Products!$A$2:$A$201,0)),0))</f>
        <v/>
      </c>
      <c r="J593" s="17" t="str">
        <f aca="false">IF($B593="","",H593-I593)</f>
        <v/>
      </c>
      <c r="K593" s="16" t="str">
        <f aca="false">IF($A593="","",DATE(YEAR($A593),MONTH($A593),1))</f>
        <v/>
      </c>
    </row>
    <row r="594" customFormat="false" ht="15" hidden="false" customHeight="false" outlineLevel="0" collapsed="false">
      <c r="A594" s="25"/>
      <c r="B594" s="19"/>
      <c r="C594" s="19"/>
      <c r="D594" s="26"/>
      <c r="E594" s="27" t="str">
        <f aca="false">IF($B594="","",IFERROR(INDEX(Products!$B$2:$B$201,MATCH($B594,Products!$A$2:$A$201,0)),"Unknown code"))</f>
        <v/>
      </c>
      <c r="F594" s="22" t="str">
        <f aca="false">IF($B594="","",IFERROR(INDEX(Products!$C$2:$C$201,MATCH($B594,Products!$A$2:$A$201,0)),""))</f>
        <v/>
      </c>
      <c r="G594" s="17" t="str">
        <f aca="false">IF($B594="","",IFERROR(INDEX(Products!$D$2:$D$201,MATCH($B594,Products!$A$2:$A$201,0)),0))</f>
        <v/>
      </c>
      <c r="H594" s="17" t="str">
        <f aca="false">IF($B594="","",C594*G594*(1-D594))</f>
        <v/>
      </c>
      <c r="I594" s="17" t="str">
        <f aca="false">IF($B594="","",C594*IFERROR(INDEX(Products!$E$2:$E$201,MATCH($B594,Products!$A$2:$A$201,0)),0))</f>
        <v/>
      </c>
      <c r="J594" s="17" t="str">
        <f aca="false">IF($B594="","",H594-I594)</f>
        <v/>
      </c>
      <c r="K594" s="16" t="str">
        <f aca="false">IF($A594="","",DATE(YEAR($A594),MONTH($A594),1))</f>
        <v/>
      </c>
    </row>
    <row r="595" customFormat="false" ht="15" hidden="false" customHeight="false" outlineLevel="0" collapsed="false">
      <c r="A595" s="25"/>
      <c r="B595" s="19"/>
      <c r="C595" s="19"/>
      <c r="D595" s="26"/>
      <c r="E595" s="27" t="str">
        <f aca="false">IF($B595="","",IFERROR(INDEX(Products!$B$2:$B$201,MATCH($B595,Products!$A$2:$A$201,0)),"Unknown code"))</f>
        <v/>
      </c>
      <c r="F595" s="22" t="str">
        <f aca="false">IF($B595="","",IFERROR(INDEX(Products!$C$2:$C$201,MATCH($B595,Products!$A$2:$A$201,0)),""))</f>
        <v/>
      </c>
      <c r="G595" s="17" t="str">
        <f aca="false">IF($B595="","",IFERROR(INDEX(Products!$D$2:$D$201,MATCH($B595,Products!$A$2:$A$201,0)),0))</f>
        <v/>
      </c>
      <c r="H595" s="17" t="str">
        <f aca="false">IF($B595="","",C595*G595*(1-D595))</f>
        <v/>
      </c>
      <c r="I595" s="17" t="str">
        <f aca="false">IF($B595="","",C595*IFERROR(INDEX(Products!$E$2:$E$201,MATCH($B595,Products!$A$2:$A$201,0)),0))</f>
        <v/>
      </c>
      <c r="J595" s="17" t="str">
        <f aca="false">IF($B595="","",H595-I595)</f>
        <v/>
      </c>
      <c r="K595" s="16" t="str">
        <f aca="false">IF($A595="","",DATE(YEAR($A595),MONTH($A595),1))</f>
        <v/>
      </c>
    </row>
    <row r="596" customFormat="false" ht="15" hidden="false" customHeight="false" outlineLevel="0" collapsed="false">
      <c r="A596" s="25"/>
      <c r="B596" s="19"/>
      <c r="C596" s="19"/>
      <c r="D596" s="26"/>
      <c r="E596" s="27" t="str">
        <f aca="false">IF($B596="","",IFERROR(INDEX(Products!$B$2:$B$201,MATCH($B596,Products!$A$2:$A$201,0)),"Unknown code"))</f>
        <v/>
      </c>
      <c r="F596" s="22" t="str">
        <f aca="false">IF($B596="","",IFERROR(INDEX(Products!$C$2:$C$201,MATCH($B596,Products!$A$2:$A$201,0)),""))</f>
        <v/>
      </c>
      <c r="G596" s="17" t="str">
        <f aca="false">IF($B596="","",IFERROR(INDEX(Products!$D$2:$D$201,MATCH($B596,Products!$A$2:$A$201,0)),0))</f>
        <v/>
      </c>
      <c r="H596" s="17" t="str">
        <f aca="false">IF($B596="","",C596*G596*(1-D596))</f>
        <v/>
      </c>
      <c r="I596" s="17" t="str">
        <f aca="false">IF($B596="","",C596*IFERROR(INDEX(Products!$E$2:$E$201,MATCH($B596,Products!$A$2:$A$201,0)),0))</f>
        <v/>
      </c>
      <c r="J596" s="17" t="str">
        <f aca="false">IF($B596="","",H596-I596)</f>
        <v/>
      </c>
      <c r="K596" s="16" t="str">
        <f aca="false">IF($A596="","",DATE(YEAR($A596),MONTH($A596),1))</f>
        <v/>
      </c>
    </row>
    <row r="597" customFormat="false" ht="15" hidden="false" customHeight="false" outlineLevel="0" collapsed="false">
      <c r="A597" s="25"/>
      <c r="B597" s="19"/>
      <c r="C597" s="19"/>
      <c r="D597" s="26"/>
      <c r="E597" s="27" t="str">
        <f aca="false">IF($B597="","",IFERROR(INDEX(Products!$B$2:$B$201,MATCH($B597,Products!$A$2:$A$201,0)),"Unknown code"))</f>
        <v/>
      </c>
      <c r="F597" s="22" t="str">
        <f aca="false">IF($B597="","",IFERROR(INDEX(Products!$C$2:$C$201,MATCH($B597,Products!$A$2:$A$201,0)),""))</f>
        <v/>
      </c>
      <c r="G597" s="17" t="str">
        <f aca="false">IF($B597="","",IFERROR(INDEX(Products!$D$2:$D$201,MATCH($B597,Products!$A$2:$A$201,0)),0))</f>
        <v/>
      </c>
      <c r="H597" s="17" t="str">
        <f aca="false">IF($B597="","",C597*G597*(1-D597))</f>
        <v/>
      </c>
      <c r="I597" s="17" t="str">
        <f aca="false">IF($B597="","",C597*IFERROR(INDEX(Products!$E$2:$E$201,MATCH($B597,Products!$A$2:$A$201,0)),0))</f>
        <v/>
      </c>
      <c r="J597" s="17" t="str">
        <f aca="false">IF($B597="","",H597-I597)</f>
        <v/>
      </c>
      <c r="K597" s="16" t="str">
        <f aca="false">IF($A597="","",DATE(YEAR($A597),MONTH($A597),1))</f>
        <v/>
      </c>
    </row>
    <row r="598" customFormat="false" ht="15" hidden="false" customHeight="false" outlineLevel="0" collapsed="false">
      <c r="A598" s="25"/>
      <c r="B598" s="19"/>
      <c r="C598" s="19"/>
      <c r="D598" s="26"/>
      <c r="E598" s="27" t="str">
        <f aca="false">IF($B598="","",IFERROR(INDEX(Products!$B$2:$B$201,MATCH($B598,Products!$A$2:$A$201,0)),"Unknown code"))</f>
        <v/>
      </c>
      <c r="F598" s="22" t="str">
        <f aca="false">IF($B598="","",IFERROR(INDEX(Products!$C$2:$C$201,MATCH($B598,Products!$A$2:$A$201,0)),""))</f>
        <v/>
      </c>
      <c r="G598" s="17" t="str">
        <f aca="false">IF($B598="","",IFERROR(INDEX(Products!$D$2:$D$201,MATCH($B598,Products!$A$2:$A$201,0)),0))</f>
        <v/>
      </c>
      <c r="H598" s="17" t="str">
        <f aca="false">IF($B598="","",C598*G598*(1-D598))</f>
        <v/>
      </c>
      <c r="I598" s="17" t="str">
        <f aca="false">IF($B598="","",C598*IFERROR(INDEX(Products!$E$2:$E$201,MATCH($B598,Products!$A$2:$A$201,0)),0))</f>
        <v/>
      </c>
      <c r="J598" s="17" t="str">
        <f aca="false">IF($B598="","",H598-I598)</f>
        <v/>
      </c>
      <c r="K598" s="16" t="str">
        <f aca="false">IF($A598="","",DATE(YEAR($A598),MONTH($A598),1))</f>
        <v/>
      </c>
    </row>
    <row r="599" customFormat="false" ht="15" hidden="false" customHeight="false" outlineLevel="0" collapsed="false">
      <c r="A599" s="25"/>
      <c r="B599" s="19"/>
      <c r="C599" s="19"/>
      <c r="D599" s="26"/>
      <c r="E599" s="27" t="str">
        <f aca="false">IF($B599="","",IFERROR(INDEX(Products!$B$2:$B$201,MATCH($B599,Products!$A$2:$A$201,0)),"Unknown code"))</f>
        <v/>
      </c>
      <c r="F599" s="22" t="str">
        <f aca="false">IF($B599="","",IFERROR(INDEX(Products!$C$2:$C$201,MATCH($B599,Products!$A$2:$A$201,0)),""))</f>
        <v/>
      </c>
      <c r="G599" s="17" t="str">
        <f aca="false">IF($B599="","",IFERROR(INDEX(Products!$D$2:$D$201,MATCH($B599,Products!$A$2:$A$201,0)),0))</f>
        <v/>
      </c>
      <c r="H599" s="17" t="str">
        <f aca="false">IF($B599="","",C599*G599*(1-D599))</f>
        <v/>
      </c>
      <c r="I599" s="17" t="str">
        <f aca="false">IF($B599="","",C599*IFERROR(INDEX(Products!$E$2:$E$201,MATCH($B599,Products!$A$2:$A$201,0)),0))</f>
        <v/>
      </c>
      <c r="J599" s="17" t="str">
        <f aca="false">IF($B599="","",H599-I599)</f>
        <v/>
      </c>
      <c r="K599" s="16" t="str">
        <f aca="false">IF($A599="","",DATE(YEAR($A599),MONTH($A599),1))</f>
        <v/>
      </c>
    </row>
    <row r="600" customFormat="false" ht="15" hidden="false" customHeight="false" outlineLevel="0" collapsed="false">
      <c r="A600" s="25"/>
      <c r="B600" s="19"/>
      <c r="C600" s="19"/>
      <c r="D600" s="26"/>
      <c r="E600" s="27" t="str">
        <f aca="false">IF($B600="","",IFERROR(INDEX(Products!$B$2:$B$201,MATCH($B600,Products!$A$2:$A$201,0)),"Unknown code"))</f>
        <v/>
      </c>
      <c r="F600" s="22" t="str">
        <f aca="false">IF($B600="","",IFERROR(INDEX(Products!$C$2:$C$201,MATCH($B600,Products!$A$2:$A$201,0)),""))</f>
        <v/>
      </c>
      <c r="G600" s="17" t="str">
        <f aca="false">IF($B600="","",IFERROR(INDEX(Products!$D$2:$D$201,MATCH($B600,Products!$A$2:$A$201,0)),0))</f>
        <v/>
      </c>
      <c r="H600" s="17" t="str">
        <f aca="false">IF($B600="","",C600*G600*(1-D600))</f>
        <v/>
      </c>
      <c r="I600" s="17" t="str">
        <f aca="false">IF($B600="","",C600*IFERROR(INDEX(Products!$E$2:$E$201,MATCH($B600,Products!$A$2:$A$201,0)),0))</f>
        <v/>
      </c>
      <c r="J600" s="17" t="str">
        <f aca="false">IF($B600="","",H600-I600)</f>
        <v/>
      </c>
      <c r="K600" s="16" t="str">
        <f aca="false">IF($A600="","",DATE(YEAR($A600),MONTH($A600),1))</f>
        <v/>
      </c>
    </row>
    <row r="601" customFormat="false" ht="15" hidden="false" customHeight="false" outlineLevel="0" collapsed="false">
      <c r="A601" s="25"/>
      <c r="B601" s="19"/>
      <c r="C601" s="19"/>
      <c r="D601" s="26"/>
      <c r="E601" s="27" t="str">
        <f aca="false">IF($B601="","",IFERROR(INDEX(Products!$B$2:$B$201,MATCH($B601,Products!$A$2:$A$201,0)),"Unknown code"))</f>
        <v/>
      </c>
      <c r="F601" s="22" t="str">
        <f aca="false">IF($B601="","",IFERROR(INDEX(Products!$C$2:$C$201,MATCH($B601,Products!$A$2:$A$201,0)),""))</f>
        <v/>
      </c>
      <c r="G601" s="17" t="str">
        <f aca="false">IF($B601="","",IFERROR(INDEX(Products!$D$2:$D$201,MATCH($B601,Products!$A$2:$A$201,0)),0))</f>
        <v/>
      </c>
      <c r="H601" s="17" t="str">
        <f aca="false">IF($B601="","",C601*G601*(1-D601))</f>
        <v/>
      </c>
      <c r="I601" s="17" t="str">
        <f aca="false">IF($B601="","",C601*IFERROR(INDEX(Products!$E$2:$E$201,MATCH($B601,Products!$A$2:$A$201,0)),0))</f>
        <v/>
      </c>
      <c r="J601" s="17" t="str">
        <f aca="false">IF($B601="","",H601-I601)</f>
        <v/>
      </c>
      <c r="K601" s="16" t="str">
        <f aca="false">IF($A601="","",DATE(YEAR($A601),MONTH($A601),1))</f>
        <v/>
      </c>
    </row>
    <row r="602" customFormat="false" ht="15" hidden="false" customHeight="false" outlineLevel="0" collapsed="false">
      <c r="A602" s="25"/>
      <c r="B602" s="19"/>
      <c r="C602" s="19"/>
      <c r="D602" s="26"/>
      <c r="E602" s="27" t="str">
        <f aca="false">IF($B602="","",IFERROR(INDEX(Products!$B$2:$B$201,MATCH($B602,Products!$A$2:$A$201,0)),"Unknown code"))</f>
        <v/>
      </c>
      <c r="F602" s="22" t="str">
        <f aca="false">IF($B602="","",IFERROR(INDEX(Products!$C$2:$C$201,MATCH($B602,Products!$A$2:$A$201,0)),""))</f>
        <v/>
      </c>
      <c r="G602" s="17" t="str">
        <f aca="false">IF($B602="","",IFERROR(INDEX(Products!$D$2:$D$201,MATCH($B602,Products!$A$2:$A$201,0)),0))</f>
        <v/>
      </c>
      <c r="H602" s="17" t="str">
        <f aca="false">IF($B602="","",C602*G602*(1-D602))</f>
        <v/>
      </c>
      <c r="I602" s="17" t="str">
        <f aca="false">IF($B602="","",C602*IFERROR(INDEX(Products!$E$2:$E$201,MATCH($B602,Products!$A$2:$A$201,0)),0))</f>
        <v/>
      </c>
      <c r="J602" s="17" t="str">
        <f aca="false">IF($B602="","",H602-I602)</f>
        <v/>
      </c>
      <c r="K602" s="16" t="str">
        <f aca="false">IF($A602="","",DATE(YEAR($A602),MONTH($A602),1))</f>
        <v/>
      </c>
    </row>
    <row r="603" customFormat="false" ht="15" hidden="false" customHeight="false" outlineLevel="0" collapsed="false">
      <c r="A603" s="25"/>
      <c r="B603" s="19"/>
      <c r="C603" s="19"/>
      <c r="D603" s="26"/>
      <c r="E603" s="27" t="str">
        <f aca="false">IF($B603="","",IFERROR(INDEX(Products!$B$2:$B$201,MATCH($B603,Products!$A$2:$A$201,0)),"Unknown code"))</f>
        <v/>
      </c>
      <c r="F603" s="22" t="str">
        <f aca="false">IF($B603="","",IFERROR(INDEX(Products!$C$2:$C$201,MATCH($B603,Products!$A$2:$A$201,0)),""))</f>
        <v/>
      </c>
      <c r="G603" s="17" t="str">
        <f aca="false">IF($B603="","",IFERROR(INDEX(Products!$D$2:$D$201,MATCH($B603,Products!$A$2:$A$201,0)),0))</f>
        <v/>
      </c>
      <c r="H603" s="17" t="str">
        <f aca="false">IF($B603="","",C603*G603*(1-D603))</f>
        <v/>
      </c>
      <c r="I603" s="17" t="str">
        <f aca="false">IF($B603="","",C603*IFERROR(INDEX(Products!$E$2:$E$201,MATCH($B603,Products!$A$2:$A$201,0)),0))</f>
        <v/>
      </c>
      <c r="J603" s="17" t="str">
        <f aca="false">IF($B603="","",H603-I603)</f>
        <v/>
      </c>
      <c r="K603" s="16" t="str">
        <f aca="false">IF($A603="","",DATE(YEAR($A603),MONTH($A603),1))</f>
        <v/>
      </c>
    </row>
    <row r="604" customFormat="false" ht="15" hidden="false" customHeight="false" outlineLevel="0" collapsed="false">
      <c r="A604" s="25"/>
      <c r="B604" s="19"/>
      <c r="C604" s="19"/>
      <c r="D604" s="26"/>
      <c r="E604" s="27" t="str">
        <f aca="false">IF($B604="","",IFERROR(INDEX(Products!$B$2:$B$201,MATCH($B604,Products!$A$2:$A$201,0)),"Unknown code"))</f>
        <v/>
      </c>
      <c r="F604" s="22" t="str">
        <f aca="false">IF($B604="","",IFERROR(INDEX(Products!$C$2:$C$201,MATCH($B604,Products!$A$2:$A$201,0)),""))</f>
        <v/>
      </c>
      <c r="G604" s="17" t="str">
        <f aca="false">IF($B604="","",IFERROR(INDEX(Products!$D$2:$D$201,MATCH($B604,Products!$A$2:$A$201,0)),0))</f>
        <v/>
      </c>
      <c r="H604" s="17" t="str">
        <f aca="false">IF($B604="","",C604*G604*(1-D604))</f>
        <v/>
      </c>
      <c r="I604" s="17" t="str">
        <f aca="false">IF($B604="","",C604*IFERROR(INDEX(Products!$E$2:$E$201,MATCH($B604,Products!$A$2:$A$201,0)),0))</f>
        <v/>
      </c>
      <c r="J604" s="17" t="str">
        <f aca="false">IF($B604="","",H604-I604)</f>
        <v/>
      </c>
      <c r="K604" s="16" t="str">
        <f aca="false">IF($A604="","",DATE(YEAR($A604),MONTH($A604),1))</f>
        <v/>
      </c>
    </row>
    <row r="605" customFormat="false" ht="15" hidden="false" customHeight="false" outlineLevel="0" collapsed="false">
      <c r="A605" s="25"/>
      <c r="B605" s="19"/>
      <c r="C605" s="19"/>
      <c r="D605" s="26"/>
      <c r="E605" s="27" t="str">
        <f aca="false">IF($B605="","",IFERROR(INDEX(Products!$B$2:$B$201,MATCH($B605,Products!$A$2:$A$201,0)),"Unknown code"))</f>
        <v/>
      </c>
      <c r="F605" s="22" t="str">
        <f aca="false">IF($B605="","",IFERROR(INDEX(Products!$C$2:$C$201,MATCH($B605,Products!$A$2:$A$201,0)),""))</f>
        <v/>
      </c>
      <c r="G605" s="17" t="str">
        <f aca="false">IF($B605="","",IFERROR(INDEX(Products!$D$2:$D$201,MATCH($B605,Products!$A$2:$A$201,0)),0))</f>
        <v/>
      </c>
      <c r="H605" s="17" t="str">
        <f aca="false">IF($B605="","",C605*G605*(1-D605))</f>
        <v/>
      </c>
      <c r="I605" s="17" t="str">
        <f aca="false">IF($B605="","",C605*IFERROR(INDEX(Products!$E$2:$E$201,MATCH($B605,Products!$A$2:$A$201,0)),0))</f>
        <v/>
      </c>
      <c r="J605" s="17" t="str">
        <f aca="false">IF($B605="","",H605-I605)</f>
        <v/>
      </c>
      <c r="K605" s="16" t="str">
        <f aca="false">IF($A605="","",DATE(YEAR($A605),MONTH($A605),1))</f>
        <v/>
      </c>
    </row>
    <row r="606" customFormat="false" ht="15" hidden="false" customHeight="false" outlineLevel="0" collapsed="false">
      <c r="A606" s="25"/>
      <c r="B606" s="19"/>
      <c r="C606" s="19"/>
      <c r="D606" s="26"/>
      <c r="E606" s="27" t="str">
        <f aca="false">IF($B606="","",IFERROR(INDEX(Products!$B$2:$B$201,MATCH($B606,Products!$A$2:$A$201,0)),"Unknown code"))</f>
        <v/>
      </c>
      <c r="F606" s="22" t="str">
        <f aca="false">IF($B606="","",IFERROR(INDEX(Products!$C$2:$C$201,MATCH($B606,Products!$A$2:$A$201,0)),""))</f>
        <v/>
      </c>
      <c r="G606" s="17" t="str">
        <f aca="false">IF($B606="","",IFERROR(INDEX(Products!$D$2:$D$201,MATCH($B606,Products!$A$2:$A$201,0)),0))</f>
        <v/>
      </c>
      <c r="H606" s="17" t="str">
        <f aca="false">IF($B606="","",C606*G606*(1-D606))</f>
        <v/>
      </c>
      <c r="I606" s="17" t="str">
        <f aca="false">IF($B606="","",C606*IFERROR(INDEX(Products!$E$2:$E$201,MATCH($B606,Products!$A$2:$A$201,0)),0))</f>
        <v/>
      </c>
      <c r="J606" s="17" t="str">
        <f aca="false">IF($B606="","",H606-I606)</f>
        <v/>
      </c>
      <c r="K606" s="16" t="str">
        <f aca="false">IF($A606="","",DATE(YEAR($A606),MONTH($A606),1))</f>
        <v/>
      </c>
    </row>
    <row r="607" customFormat="false" ht="15" hidden="false" customHeight="false" outlineLevel="0" collapsed="false">
      <c r="A607" s="25"/>
      <c r="B607" s="19"/>
      <c r="C607" s="19"/>
      <c r="D607" s="26"/>
      <c r="E607" s="27" t="str">
        <f aca="false">IF($B607="","",IFERROR(INDEX(Products!$B$2:$B$201,MATCH($B607,Products!$A$2:$A$201,0)),"Unknown code"))</f>
        <v/>
      </c>
      <c r="F607" s="22" t="str">
        <f aca="false">IF($B607="","",IFERROR(INDEX(Products!$C$2:$C$201,MATCH($B607,Products!$A$2:$A$201,0)),""))</f>
        <v/>
      </c>
      <c r="G607" s="17" t="str">
        <f aca="false">IF($B607="","",IFERROR(INDEX(Products!$D$2:$D$201,MATCH($B607,Products!$A$2:$A$201,0)),0))</f>
        <v/>
      </c>
      <c r="H607" s="17" t="str">
        <f aca="false">IF($B607="","",C607*G607*(1-D607))</f>
        <v/>
      </c>
      <c r="I607" s="17" t="str">
        <f aca="false">IF($B607="","",C607*IFERROR(INDEX(Products!$E$2:$E$201,MATCH($B607,Products!$A$2:$A$201,0)),0))</f>
        <v/>
      </c>
      <c r="J607" s="17" t="str">
        <f aca="false">IF($B607="","",H607-I607)</f>
        <v/>
      </c>
      <c r="K607" s="16" t="str">
        <f aca="false">IF($A607="","",DATE(YEAR($A607),MONTH($A607),1))</f>
        <v/>
      </c>
    </row>
    <row r="608" customFormat="false" ht="15" hidden="false" customHeight="false" outlineLevel="0" collapsed="false">
      <c r="A608" s="25"/>
      <c r="B608" s="19"/>
      <c r="C608" s="19"/>
      <c r="D608" s="26"/>
      <c r="E608" s="27" t="str">
        <f aca="false">IF($B608="","",IFERROR(INDEX(Products!$B$2:$B$201,MATCH($B608,Products!$A$2:$A$201,0)),"Unknown code"))</f>
        <v/>
      </c>
      <c r="F608" s="22" t="str">
        <f aca="false">IF($B608="","",IFERROR(INDEX(Products!$C$2:$C$201,MATCH($B608,Products!$A$2:$A$201,0)),""))</f>
        <v/>
      </c>
      <c r="G608" s="17" t="str">
        <f aca="false">IF($B608="","",IFERROR(INDEX(Products!$D$2:$D$201,MATCH($B608,Products!$A$2:$A$201,0)),0))</f>
        <v/>
      </c>
      <c r="H608" s="17" t="str">
        <f aca="false">IF($B608="","",C608*G608*(1-D608))</f>
        <v/>
      </c>
      <c r="I608" s="17" t="str">
        <f aca="false">IF($B608="","",C608*IFERROR(INDEX(Products!$E$2:$E$201,MATCH($B608,Products!$A$2:$A$201,0)),0))</f>
        <v/>
      </c>
      <c r="J608" s="17" t="str">
        <f aca="false">IF($B608="","",H608-I608)</f>
        <v/>
      </c>
      <c r="K608" s="16" t="str">
        <f aca="false">IF($A608="","",DATE(YEAR($A608),MONTH($A608),1))</f>
        <v/>
      </c>
    </row>
    <row r="609" customFormat="false" ht="15" hidden="false" customHeight="false" outlineLevel="0" collapsed="false">
      <c r="A609" s="25"/>
      <c r="B609" s="19"/>
      <c r="C609" s="19"/>
      <c r="D609" s="26"/>
      <c r="E609" s="27" t="str">
        <f aca="false">IF($B609="","",IFERROR(INDEX(Products!$B$2:$B$201,MATCH($B609,Products!$A$2:$A$201,0)),"Unknown code"))</f>
        <v/>
      </c>
      <c r="F609" s="22" t="str">
        <f aca="false">IF($B609="","",IFERROR(INDEX(Products!$C$2:$C$201,MATCH($B609,Products!$A$2:$A$201,0)),""))</f>
        <v/>
      </c>
      <c r="G609" s="17" t="str">
        <f aca="false">IF($B609="","",IFERROR(INDEX(Products!$D$2:$D$201,MATCH($B609,Products!$A$2:$A$201,0)),0))</f>
        <v/>
      </c>
      <c r="H609" s="17" t="str">
        <f aca="false">IF($B609="","",C609*G609*(1-D609))</f>
        <v/>
      </c>
      <c r="I609" s="17" t="str">
        <f aca="false">IF($B609="","",C609*IFERROR(INDEX(Products!$E$2:$E$201,MATCH($B609,Products!$A$2:$A$201,0)),0))</f>
        <v/>
      </c>
      <c r="J609" s="17" t="str">
        <f aca="false">IF($B609="","",H609-I609)</f>
        <v/>
      </c>
      <c r="K609" s="16" t="str">
        <f aca="false">IF($A609="","",DATE(YEAR($A609),MONTH($A609),1))</f>
        <v/>
      </c>
    </row>
    <row r="610" customFormat="false" ht="15" hidden="false" customHeight="false" outlineLevel="0" collapsed="false">
      <c r="A610" s="25"/>
      <c r="B610" s="19"/>
      <c r="C610" s="19"/>
      <c r="D610" s="26"/>
      <c r="E610" s="27" t="str">
        <f aca="false">IF($B610="","",IFERROR(INDEX(Products!$B$2:$B$201,MATCH($B610,Products!$A$2:$A$201,0)),"Unknown code"))</f>
        <v/>
      </c>
      <c r="F610" s="22" t="str">
        <f aca="false">IF($B610="","",IFERROR(INDEX(Products!$C$2:$C$201,MATCH($B610,Products!$A$2:$A$201,0)),""))</f>
        <v/>
      </c>
      <c r="G610" s="17" t="str">
        <f aca="false">IF($B610="","",IFERROR(INDEX(Products!$D$2:$D$201,MATCH($B610,Products!$A$2:$A$201,0)),0))</f>
        <v/>
      </c>
      <c r="H610" s="17" t="str">
        <f aca="false">IF($B610="","",C610*G610*(1-D610))</f>
        <v/>
      </c>
      <c r="I610" s="17" t="str">
        <f aca="false">IF($B610="","",C610*IFERROR(INDEX(Products!$E$2:$E$201,MATCH($B610,Products!$A$2:$A$201,0)),0))</f>
        <v/>
      </c>
      <c r="J610" s="17" t="str">
        <f aca="false">IF($B610="","",H610-I610)</f>
        <v/>
      </c>
      <c r="K610" s="16" t="str">
        <f aca="false">IF($A610="","",DATE(YEAR($A610),MONTH($A610),1))</f>
        <v/>
      </c>
    </row>
    <row r="611" customFormat="false" ht="15" hidden="false" customHeight="false" outlineLevel="0" collapsed="false">
      <c r="A611" s="25"/>
      <c r="B611" s="19"/>
      <c r="C611" s="19"/>
      <c r="D611" s="26"/>
      <c r="E611" s="27" t="str">
        <f aca="false">IF($B611="","",IFERROR(INDEX(Products!$B$2:$B$201,MATCH($B611,Products!$A$2:$A$201,0)),"Unknown code"))</f>
        <v/>
      </c>
      <c r="F611" s="22" t="str">
        <f aca="false">IF($B611="","",IFERROR(INDEX(Products!$C$2:$C$201,MATCH($B611,Products!$A$2:$A$201,0)),""))</f>
        <v/>
      </c>
      <c r="G611" s="17" t="str">
        <f aca="false">IF($B611="","",IFERROR(INDEX(Products!$D$2:$D$201,MATCH($B611,Products!$A$2:$A$201,0)),0))</f>
        <v/>
      </c>
      <c r="H611" s="17" t="str">
        <f aca="false">IF($B611="","",C611*G611*(1-D611))</f>
        <v/>
      </c>
      <c r="I611" s="17" t="str">
        <f aca="false">IF($B611="","",C611*IFERROR(INDEX(Products!$E$2:$E$201,MATCH($B611,Products!$A$2:$A$201,0)),0))</f>
        <v/>
      </c>
      <c r="J611" s="17" t="str">
        <f aca="false">IF($B611="","",H611-I611)</f>
        <v/>
      </c>
      <c r="K611" s="16" t="str">
        <f aca="false">IF($A611="","",DATE(YEAR($A611),MONTH($A611),1))</f>
        <v/>
      </c>
    </row>
    <row r="612" customFormat="false" ht="15" hidden="false" customHeight="false" outlineLevel="0" collapsed="false">
      <c r="A612" s="25"/>
      <c r="B612" s="19"/>
      <c r="C612" s="19"/>
      <c r="D612" s="26"/>
      <c r="E612" s="27" t="str">
        <f aca="false">IF($B612="","",IFERROR(INDEX(Products!$B$2:$B$201,MATCH($B612,Products!$A$2:$A$201,0)),"Unknown code"))</f>
        <v/>
      </c>
      <c r="F612" s="22" t="str">
        <f aca="false">IF($B612="","",IFERROR(INDEX(Products!$C$2:$C$201,MATCH($B612,Products!$A$2:$A$201,0)),""))</f>
        <v/>
      </c>
      <c r="G612" s="17" t="str">
        <f aca="false">IF($B612="","",IFERROR(INDEX(Products!$D$2:$D$201,MATCH($B612,Products!$A$2:$A$201,0)),0))</f>
        <v/>
      </c>
      <c r="H612" s="17" t="str">
        <f aca="false">IF($B612="","",C612*G612*(1-D612))</f>
        <v/>
      </c>
      <c r="I612" s="17" t="str">
        <f aca="false">IF($B612="","",C612*IFERROR(INDEX(Products!$E$2:$E$201,MATCH($B612,Products!$A$2:$A$201,0)),0))</f>
        <v/>
      </c>
      <c r="J612" s="17" t="str">
        <f aca="false">IF($B612="","",H612-I612)</f>
        <v/>
      </c>
      <c r="K612" s="16" t="str">
        <f aca="false">IF($A612="","",DATE(YEAR($A612),MONTH($A612),1))</f>
        <v/>
      </c>
    </row>
    <row r="613" customFormat="false" ht="15" hidden="false" customHeight="false" outlineLevel="0" collapsed="false">
      <c r="A613" s="25"/>
      <c r="B613" s="19"/>
      <c r="C613" s="19"/>
      <c r="D613" s="26"/>
      <c r="E613" s="27" t="str">
        <f aca="false">IF($B613="","",IFERROR(INDEX(Products!$B$2:$B$201,MATCH($B613,Products!$A$2:$A$201,0)),"Unknown code"))</f>
        <v/>
      </c>
      <c r="F613" s="22" t="str">
        <f aca="false">IF($B613="","",IFERROR(INDEX(Products!$C$2:$C$201,MATCH($B613,Products!$A$2:$A$201,0)),""))</f>
        <v/>
      </c>
      <c r="G613" s="17" t="str">
        <f aca="false">IF($B613="","",IFERROR(INDEX(Products!$D$2:$D$201,MATCH($B613,Products!$A$2:$A$201,0)),0))</f>
        <v/>
      </c>
      <c r="H613" s="17" t="str">
        <f aca="false">IF($B613="","",C613*G613*(1-D613))</f>
        <v/>
      </c>
      <c r="I613" s="17" t="str">
        <f aca="false">IF($B613="","",C613*IFERROR(INDEX(Products!$E$2:$E$201,MATCH($B613,Products!$A$2:$A$201,0)),0))</f>
        <v/>
      </c>
      <c r="J613" s="17" t="str">
        <f aca="false">IF($B613="","",H613-I613)</f>
        <v/>
      </c>
      <c r="K613" s="16" t="str">
        <f aca="false">IF($A613="","",DATE(YEAR($A613),MONTH($A613),1))</f>
        <v/>
      </c>
    </row>
    <row r="614" customFormat="false" ht="15" hidden="false" customHeight="false" outlineLevel="0" collapsed="false">
      <c r="A614" s="25"/>
      <c r="B614" s="19"/>
      <c r="C614" s="19"/>
      <c r="D614" s="26"/>
      <c r="E614" s="27" t="str">
        <f aca="false">IF($B614="","",IFERROR(INDEX(Products!$B$2:$B$201,MATCH($B614,Products!$A$2:$A$201,0)),"Unknown code"))</f>
        <v/>
      </c>
      <c r="F614" s="22" t="str">
        <f aca="false">IF($B614="","",IFERROR(INDEX(Products!$C$2:$C$201,MATCH($B614,Products!$A$2:$A$201,0)),""))</f>
        <v/>
      </c>
      <c r="G614" s="17" t="str">
        <f aca="false">IF($B614="","",IFERROR(INDEX(Products!$D$2:$D$201,MATCH($B614,Products!$A$2:$A$201,0)),0))</f>
        <v/>
      </c>
      <c r="H614" s="17" t="str">
        <f aca="false">IF($B614="","",C614*G614*(1-D614))</f>
        <v/>
      </c>
      <c r="I614" s="17" t="str">
        <f aca="false">IF($B614="","",C614*IFERROR(INDEX(Products!$E$2:$E$201,MATCH($B614,Products!$A$2:$A$201,0)),0))</f>
        <v/>
      </c>
      <c r="J614" s="17" t="str">
        <f aca="false">IF($B614="","",H614-I614)</f>
        <v/>
      </c>
      <c r="K614" s="16" t="str">
        <f aca="false">IF($A614="","",DATE(YEAR($A614),MONTH($A614),1))</f>
        <v/>
      </c>
    </row>
    <row r="615" customFormat="false" ht="15" hidden="false" customHeight="false" outlineLevel="0" collapsed="false">
      <c r="A615" s="25"/>
      <c r="B615" s="19"/>
      <c r="C615" s="19"/>
      <c r="D615" s="26"/>
      <c r="E615" s="27" t="str">
        <f aca="false">IF($B615="","",IFERROR(INDEX(Products!$B$2:$B$201,MATCH($B615,Products!$A$2:$A$201,0)),"Unknown code"))</f>
        <v/>
      </c>
      <c r="F615" s="22" t="str">
        <f aca="false">IF($B615="","",IFERROR(INDEX(Products!$C$2:$C$201,MATCH($B615,Products!$A$2:$A$201,0)),""))</f>
        <v/>
      </c>
      <c r="G615" s="17" t="str">
        <f aca="false">IF($B615="","",IFERROR(INDEX(Products!$D$2:$D$201,MATCH($B615,Products!$A$2:$A$201,0)),0))</f>
        <v/>
      </c>
      <c r="H615" s="17" t="str">
        <f aca="false">IF($B615="","",C615*G615*(1-D615))</f>
        <v/>
      </c>
      <c r="I615" s="17" t="str">
        <f aca="false">IF($B615="","",C615*IFERROR(INDEX(Products!$E$2:$E$201,MATCH($B615,Products!$A$2:$A$201,0)),0))</f>
        <v/>
      </c>
      <c r="J615" s="17" t="str">
        <f aca="false">IF($B615="","",H615-I615)</f>
        <v/>
      </c>
      <c r="K615" s="16" t="str">
        <f aca="false">IF($A615="","",DATE(YEAR($A615),MONTH($A615),1))</f>
        <v/>
      </c>
    </row>
    <row r="616" customFormat="false" ht="15" hidden="false" customHeight="false" outlineLevel="0" collapsed="false">
      <c r="A616" s="25"/>
      <c r="B616" s="19"/>
      <c r="C616" s="19"/>
      <c r="D616" s="26"/>
      <c r="E616" s="27" t="str">
        <f aca="false">IF($B616="","",IFERROR(INDEX(Products!$B$2:$B$201,MATCH($B616,Products!$A$2:$A$201,0)),"Unknown code"))</f>
        <v/>
      </c>
      <c r="F616" s="22" t="str">
        <f aca="false">IF($B616="","",IFERROR(INDEX(Products!$C$2:$C$201,MATCH($B616,Products!$A$2:$A$201,0)),""))</f>
        <v/>
      </c>
      <c r="G616" s="17" t="str">
        <f aca="false">IF($B616="","",IFERROR(INDEX(Products!$D$2:$D$201,MATCH($B616,Products!$A$2:$A$201,0)),0))</f>
        <v/>
      </c>
      <c r="H616" s="17" t="str">
        <f aca="false">IF($B616="","",C616*G616*(1-D616))</f>
        <v/>
      </c>
      <c r="I616" s="17" t="str">
        <f aca="false">IF($B616="","",C616*IFERROR(INDEX(Products!$E$2:$E$201,MATCH($B616,Products!$A$2:$A$201,0)),0))</f>
        <v/>
      </c>
      <c r="J616" s="17" t="str">
        <f aca="false">IF($B616="","",H616-I616)</f>
        <v/>
      </c>
      <c r="K616" s="16" t="str">
        <f aca="false">IF($A616="","",DATE(YEAR($A616),MONTH($A616),1))</f>
        <v/>
      </c>
    </row>
    <row r="617" customFormat="false" ht="15" hidden="false" customHeight="false" outlineLevel="0" collapsed="false">
      <c r="A617" s="25"/>
      <c r="B617" s="19"/>
      <c r="C617" s="19"/>
      <c r="D617" s="26"/>
      <c r="E617" s="27" t="str">
        <f aca="false">IF($B617="","",IFERROR(INDEX(Products!$B$2:$B$201,MATCH($B617,Products!$A$2:$A$201,0)),"Unknown code"))</f>
        <v/>
      </c>
      <c r="F617" s="22" t="str">
        <f aca="false">IF($B617="","",IFERROR(INDEX(Products!$C$2:$C$201,MATCH($B617,Products!$A$2:$A$201,0)),""))</f>
        <v/>
      </c>
      <c r="G617" s="17" t="str">
        <f aca="false">IF($B617="","",IFERROR(INDEX(Products!$D$2:$D$201,MATCH($B617,Products!$A$2:$A$201,0)),0))</f>
        <v/>
      </c>
      <c r="H617" s="17" t="str">
        <f aca="false">IF($B617="","",C617*G617*(1-D617))</f>
        <v/>
      </c>
      <c r="I617" s="17" t="str">
        <f aca="false">IF($B617="","",C617*IFERROR(INDEX(Products!$E$2:$E$201,MATCH($B617,Products!$A$2:$A$201,0)),0))</f>
        <v/>
      </c>
      <c r="J617" s="17" t="str">
        <f aca="false">IF($B617="","",H617-I617)</f>
        <v/>
      </c>
      <c r="K617" s="16" t="str">
        <f aca="false">IF($A617="","",DATE(YEAR($A617),MONTH($A617),1))</f>
        <v/>
      </c>
    </row>
    <row r="618" customFormat="false" ht="15" hidden="false" customHeight="false" outlineLevel="0" collapsed="false">
      <c r="A618" s="25"/>
      <c r="B618" s="19"/>
      <c r="C618" s="19"/>
      <c r="D618" s="26"/>
      <c r="E618" s="27" t="str">
        <f aca="false">IF($B618="","",IFERROR(INDEX(Products!$B$2:$B$201,MATCH($B618,Products!$A$2:$A$201,0)),"Unknown code"))</f>
        <v/>
      </c>
      <c r="F618" s="22" t="str">
        <f aca="false">IF($B618="","",IFERROR(INDEX(Products!$C$2:$C$201,MATCH($B618,Products!$A$2:$A$201,0)),""))</f>
        <v/>
      </c>
      <c r="G618" s="17" t="str">
        <f aca="false">IF($B618="","",IFERROR(INDEX(Products!$D$2:$D$201,MATCH($B618,Products!$A$2:$A$201,0)),0))</f>
        <v/>
      </c>
      <c r="H618" s="17" t="str">
        <f aca="false">IF($B618="","",C618*G618*(1-D618))</f>
        <v/>
      </c>
      <c r="I618" s="17" t="str">
        <f aca="false">IF($B618="","",C618*IFERROR(INDEX(Products!$E$2:$E$201,MATCH($B618,Products!$A$2:$A$201,0)),0))</f>
        <v/>
      </c>
      <c r="J618" s="17" t="str">
        <f aca="false">IF($B618="","",H618-I618)</f>
        <v/>
      </c>
      <c r="K618" s="16" t="str">
        <f aca="false">IF($A618="","",DATE(YEAR($A618),MONTH($A618),1))</f>
        <v/>
      </c>
    </row>
    <row r="619" customFormat="false" ht="15" hidden="false" customHeight="false" outlineLevel="0" collapsed="false">
      <c r="A619" s="25"/>
      <c r="B619" s="19"/>
      <c r="C619" s="19"/>
      <c r="D619" s="26"/>
      <c r="E619" s="27" t="str">
        <f aca="false">IF($B619="","",IFERROR(INDEX(Products!$B$2:$B$201,MATCH($B619,Products!$A$2:$A$201,0)),"Unknown code"))</f>
        <v/>
      </c>
      <c r="F619" s="22" t="str">
        <f aca="false">IF($B619="","",IFERROR(INDEX(Products!$C$2:$C$201,MATCH($B619,Products!$A$2:$A$201,0)),""))</f>
        <v/>
      </c>
      <c r="G619" s="17" t="str">
        <f aca="false">IF($B619="","",IFERROR(INDEX(Products!$D$2:$D$201,MATCH($B619,Products!$A$2:$A$201,0)),0))</f>
        <v/>
      </c>
      <c r="H619" s="17" t="str">
        <f aca="false">IF($B619="","",C619*G619*(1-D619))</f>
        <v/>
      </c>
      <c r="I619" s="17" t="str">
        <f aca="false">IF($B619="","",C619*IFERROR(INDEX(Products!$E$2:$E$201,MATCH($B619,Products!$A$2:$A$201,0)),0))</f>
        <v/>
      </c>
      <c r="J619" s="17" t="str">
        <f aca="false">IF($B619="","",H619-I619)</f>
        <v/>
      </c>
      <c r="K619" s="16" t="str">
        <f aca="false">IF($A619="","",DATE(YEAR($A619),MONTH($A619),1))</f>
        <v/>
      </c>
    </row>
    <row r="620" customFormat="false" ht="15" hidden="false" customHeight="false" outlineLevel="0" collapsed="false">
      <c r="A620" s="25"/>
      <c r="B620" s="19"/>
      <c r="C620" s="19"/>
      <c r="D620" s="26"/>
      <c r="E620" s="27" t="str">
        <f aca="false">IF($B620="","",IFERROR(INDEX(Products!$B$2:$B$201,MATCH($B620,Products!$A$2:$A$201,0)),"Unknown code"))</f>
        <v/>
      </c>
      <c r="F620" s="22" t="str">
        <f aca="false">IF($B620="","",IFERROR(INDEX(Products!$C$2:$C$201,MATCH($B620,Products!$A$2:$A$201,0)),""))</f>
        <v/>
      </c>
      <c r="G620" s="17" t="str">
        <f aca="false">IF($B620="","",IFERROR(INDEX(Products!$D$2:$D$201,MATCH($B620,Products!$A$2:$A$201,0)),0))</f>
        <v/>
      </c>
      <c r="H620" s="17" t="str">
        <f aca="false">IF($B620="","",C620*G620*(1-D620))</f>
        <v/>
      </c>
      <c r="I620" s="17" t="str">
        <f aca="false">IF($B620="","",C620*IFERROR(INDEX(Products!$E$2:$E$201,MATCH($B620,Products!$A$2:$A$201,0)),0))</f>
        <v/>
      </c>
      <c r="J620" s="17" t="str">
        <f aca="false">IF($B620="","",H620-I620)</f>
        <v/>
      </c>
      <c r="K620" s="16" t="str">
        <f aca="false">IF($A620="","",DATE(YEAR($A620),MONTH($A620),1))</f>
        <v/>
      </c>
    </row>
    <row r="621" customFormat="false" ht="15" hidden="false" customHeight="false" outlineLevel="0" collapsed="false">
      <c r="A621" s="25"/>
      <c r="B621" s="19"/>
      <c r="C621" s="19"/>
      <c r="D621" s="26"/>
      <c r="E621" s="27" t="str">
        <f aca="false">IF($B621="","",IFERROR(INDEX(Products!$B$2:$B$201,MATCH($B621,Products!$A$2:$A$201,0)),"Unknown code"))</f>
        <v/>
      </c>
      <c r="F621" s="22" t="str">
        <f aca="false">IF($B621="","",IFERROR(INDEX(Products!$C$2:$C$201,MATCH($B621,Products!$A$2:$A$201,0)),""))</f>
        <v/>
      </c>
      <c r="G621" s="17" t="str">
        <f aca="false">IF($B621="","",IFERROR(INDEX(Products!$D$2:$D$201,MATCH($B621,Products!$A$2:$A$201,0)),0))</f>
        <v/>
      </c>
      <c r="H621" s="17" t="str">
        <f aca="false">IF($B621="","",C621*G621*(1-D621))</f>
        <v/>
      </c>
      <c r="I621" s="17" t="str">
        <f aca="false">IF($B621="","",C621*IFERROR(INDEX(Products!$E$2:$E$201,MATCH($B621,Products!$A$2:$A$201,0)),0))</f>
        <v/>
      </c>
      <c r="J621" s="17" t="str">
        <f aca="false">IF($B621="","",H621-I621)</f>
        <v/>
      </c>
      <c r="K621" s="16" t="str">
        <f aca="false">IF($A621="","",DATE(YEAR($A621),MONTH($A621),1))</f>
        <v/>
      </c>
    </row>
    <row r="622" customFormat="false" ht="15" hidden="false" customHeight="false" outlineLevel="0" collapsed="false">
      <c r="A622" s="25"/>
      <c r="B622" s="19"/>
      <c r="C622" s="19"/>
      <c r="D622" s="26"/>
      <c r="E622" s="27" t="str">
        <f aca="false">IF($B622="","",IFERROR(INDEX(Products!$B$2:$B$201,MATCH($B622,Products!$A$2:$A$201,0)),"Unknown code"))</f>
        <v/>
      </c>
      <c r="F622" s="22" t="str">
        <f aca="false">IF($B622="","",IFERROR(INDEX(Products!$C$2:$C$201,MATCH($B622,Products!$A$2:$A$201,0)),""))</f>
        <v/>
      </c>
      <c r="G622" s="17" t="str">
        <f aca="false">IF($B622="","",IFERROR(INDEX(Products!$D$2:$D$201,MATCH($B622,Products!$A$2:$A$201,0)),0))</f>
        <v/>
      </c>
      <c r="H622" s="17" t="str">
        <f aca="false">IF($B622="","",C622*G622*(1-D622))</f>
        <v/>
      </c>
      <c r="I622" s="17" t="str">
        <f aca="false">IF($B622="","",C622*IFERROR(INDEX(Products!$E$2:$E$201,MATCH($B622,Products!$A$2:$A$201,0)),0))</f>
        <v/>
      </c>
      <c r="J622" s="17" t="str">
        <f aca="false">IF($B622="","",H622-I622)</f>
        <v/>
      </c>
      <c r="K622" s="16" t="str">
        <f aca="false">IF($A622="","",DATE(YEAR($A622),MONTH($A622),1))</f>
        <v/>
      </c>
    </row>
    <row r="623" customFormat="false" ht="15" hidden="false" customHeight="false" outlineLevel="0" collapsed="false">
      <c r="A623" s="25"/>
      <c r="B623" s="19"/>
      <c r="C623" s="19"/>
      <c r="D623" s="26"/>
      <c r="E623" s="27" t="str">
        <f aca="false">IF($B623="","",IFERROR(INDEX(Products!$B$2:$B$201,MATCH($B623,Products!$A$2:$A$201,0)),"Unknown code"))</f>
        <v/>
      </c>
      <c r="F623" s="22" t="str">
        <f aca="false">IF($B623="","",IFERROR(INDEX(Products!$C$2:$C$201,MATCH($B623,Products!$A$2:$A$201,0)),""))</f>
        <v/>
      </c>
      <c r="G623" s="17" t="str">
        <f aca="false">IF($B623="","",IFERROR(INDEX(Products!$D$2:$D$201,MATCH($B623,Products!$A$2:$A$201,0)),0))</f>
        <v/>
      </c>
      <c r="H623" s="17" t="str">
        <f aca="false">IF($B623="","",C623*G623*(1-D623))</f>
        <v/>
      </c>
      <c r="I623" s="17" t="str">
        <f aca="false">IF($B623="","",C623*IFERROR(INDEX(Products!$E$2:$E$201,MATCH($B623,Products!$A$2:$A$201,0)),0))</f>
        <v/>
      </c>
      <c r="J623" s="17" t="str">
        <f aca="false">IF($B623="","",H623-I623)</f>
        <v/>
      </c>
      <c r="K623" s="16" t="str">
        <f aca="false">IF($A623="","",DATE(YEAR($A623),MONTH($A623),1))</f>
        <v/>
      </c>
    </row>
    <row r="624" customFormat="false" ht="15" hidden="false" customHeight="false" outlineLevel="0" collapsed="false">
      <c r="A624" s="25"/>
      <c r="B624" s="19"/>
      <c r="C624" s="19"/>
      <c r="D624" s="26"/>
      <c r="E624" s="27" t="str">
        <f aca="false">IF($B624="","",IFERROR(INDEX(Products!$B$2:$B$201,MATCH($B624,Products!$A$2:$A$201,0)),"Unknown code"))</f>
        <v/>
      </c>
      <c r="F624" s="22" t="str">
        <f aca="false">IF($B624="","",IFERROR(INDEX(Products!$C$2:$C$201,MATCH($B624,Products!$A$2:$A$201,0)),""))</f>
        <v/>
      </c>
      <c r="G624" s="17" t="str">
        <f aca="false">IF($B624="","",IFERROR(INDEX(Products!$D$2:$D$201,MATCH($B624,Products!$A$2:$A$201,0)),0))</f>
        <v/>
      </c>
      <c r="H624" s="17" t="str">
        <f aca="false">IF($B624="","",C624*G624*(1-D624))</f>
        <v/>
      </c>
      <c r="I624" s="17" t="str">
        <f aca="false">IF($B624="","",C624*IFERROR(INDEX(Products!$E$2:$E$201,MATCH($B624,Products!$A$2:$A$201,0)),0))</f>
        <v/>
      </c>
      <c r="J624" s="17" t="str">
        <f aca="false">IF($B624="","",H624-I624)</f>
        <v/>
      </c>
      <c r="K624" s="16" t="str">
        <f aca="false">IF($A624="","",DATE(YEAR($A624),MONTH($A624),1))</f>
        <v/>
      </c>
    </row>
    <row r="625" customFormat="false" ht="15" hidden="false" customHeight="false" outlineLevel="0" collapsed="false">
      <c r="A625" s="25"/>
      <c r="B625" s="19"/>
      <c r="C625" s="19"/>
      <c r="D625" s="26"/>
      <c r="E625" s="27" t="str">
        <f aca="false">IF($B625="","",IFERROR(INDEX(Products!$B$2:$B$201,MATCH($B625,Products!$A$2:$A$201,0)),"Unknown code"))</f>
        <v/>
      </c>
      <c r="F625" s="22" t="str">
        <f aca="false">IF($B625="","",IFERROR(INDEX(Products!$C$2:$C$201,MATCH($B625,Products!$A$2:$A$201,0)),""))</f>
        <v/>
      </c>
      <c r="G625" s="17" t="str">
        <f aca="false">IF($B625="","",IFERROR(INDEX(Products!$D$2:$D$201,MATCH($B625,Products!$A$2:$A$201,0)),0))</f>
        <v/>
      </c>
      <c r="H625" s="17" t="str">
        <f aca="false">IF($B625="","",C625*G625*(1-D625))</f>
        <v/>
      </c>
      <c r="I625" s="17" t="str">
        <f aca="false">IF($B625="","",C625*IFERROR(INDEX(Products!$E$2:$E$201,MATCH($B625,Products!$A$2:$A$201,0)),0))</f>
        <v/>
      </c>
      <c r="J625" s="17" t="str">
        <f aca="false">IF($B625="","",H625-I625)</f>
        <v/>
      </c>
      <c r="K625" s="16" t="str">
        <f aca="false">IF($A625="","",DATE(YEAR($A625),MONTH($A625),1))</f>
        <v/>
      </c>
    </row>
    <row r="626" customFormat="false" ht="15" hidden="false" customHeight="false" outlineLevel="0" collapsed="false">
      <c r="A626" s="25"/>
      <c r="B626" s="19"/>
      <c r="C626" s="19"/>
      <c r="D626" s="26"/>
      <c r="E626" s="27" t="str">
        <f aca="false">IF($B626="","",IFERROR(INDEX(Products!$B$2:$B$201,MATCH($B626,Products!$A$2:$A$201,0)),"Unknown code"))</f>
        <v/>
      </c>
      <c r="F626" s="22" t="str">
        <f aca="false">IF($B626="","",IFERROR(INDEX(Products!$C$2:$C$201,MATCH($B626,Products!$A$2:$A$201,0)),""))</f>
        <v/>
      </c>
      <c r="G626" s="17" t="str">
        <f aca="false">IF($B626="","",IFERROR(INDEX(Products!$D$2:$D$201,MATCH($B626,Products!$A$2:$A$201,0)),0))</f>
        <v/>
      </c>
      <c r="H626" s="17" t="str">
        <f aca="false">IF($B626="","",C626*G626*(1-D626))</f>
        <v/>
      </c>
      <c r="I626" s="17" t="str">
        <f aca="false">IF($B626="","",C626*IFERROR(INDEX(Products!$E$2:$E$201,MATCH($B626,Products!$A$2:$A$201,0)),0))</f>
        <v/>
      </c>
      <c r="J626" s="17" t="str">
        <f aca="false">IF($B626="","",H626-I626)</f>
        <v/>
      </c>
      <c r="K626" s="16" t="str">
        <f aca="false">IF($A626="","",DATE(YEAR($A626),MONTH($A626),1))</f>
        <v/>
      </c>
    </row>
    <row r="627" customFormat="false" ht="15" hidden="false" customHeight="false" outlineLevel="0" collapsed="false">
      <c r="A627" s="25"/>
      <c r="B627" s="19"/>
      <c r="C627" s="19"/>
      <c r="D627" s="26"/>
      <c r="E627" s="27" t="str">
        <f aca="false">IF($B627="","",IFERROR(INDEX(Products!$B$2:$B$201,MATCH($B627,Products!$A$2:$A$201,0)),"Unknown code"))</f>
        <v/>
      </c>
      <c r="F627" s="22" t="str">
        <f aca="false">IF($B627="","",IFERROR(INDEX(Products!$C$2:$C$201,MATCH($B627,Products!$A$2:$A$201,0)),""))</f>
        <v/>
      </c>
      <c r="G627" s="17" t="str">
        <f aca="false">IF($B627="","",IFERROR(INDEX(Products!$D$2:$D$201,MATCH($B627,Products!$A$2:$A$201,0)),0))</f>
        <v/>
      </c>
      <c r="H627" s="17" t="str">
        <f aca="false">IF($B627="","",C627*G627*(1-D627))</f>
        <v/>
      </c>
      <c r="I627" s="17" t="str">
        <f aca="false">IF($B627="","",C627*IFERROR(INDEX(Products!$E$2:$E$201,MATCH($B627,Products!$A$2:$A$201,0)),0))</f>
        <v/>
      </c>
      <c r="J627" s="17" t="str">
        <f aca="false">IF($B627="","",H627-I627)</f>
        <v/>
      </c>
      <c r="K627" s="16" t="str">
        <f aca="false">IF($A627="","",DATE(YEAR($A627),MONTH($A627),1))</f>
        <v/>
      </c>
    </row>
    <row r="628" customFormat="false" ht="15" hidden="false" customHeight="false" outlineLevel="0" collapsed="false">
      <c r="A628" s="25"/>
      <c r="B628" s="19"/>
      <c r="C628" s="19"/>
      <c r="D628" s="26"/>
      <c r="E628" s="27" t="str">
        <f aca="false">IF($B628="","",IFERROR(INDEX(Products!$B$2:$B$201,MATCH($B628,Products!$A$2:$A$201,0)),"Unknown code"))</f>
        <v/>
      </c>
      <c r="F628" s="22" t="str">
        <f aca="false">IF($B628="","",IFERROR(INDEX(Products!$C$2:$C$201,MATCH($B628,Products!$A$2:$A$201,0)),""))</f>
        <v/>
      </c>
      <c r="G628" s="17" t="str">
        <f aca="false">IF($B628="","",IFERROR(INDEX(Products!$D$2:$D$201,MATCH($B628,Products!$A$2:$A$201,0)),0))</f>
        <v/>
      </c>
      <c r="H628" s="17" t="str">
        <f aca="false">IF($B628="","",C628*G628*(1-D628))</f>
        <v/>
      </c>
      <c r="I628" s="17" t="str">
        <f aca="false">IF($B628="","",C628*IFERROR(INDEX(Products!$E$2:$E$201,MATCH($B628,Products!$A$2:$A$201,0)),0))</f>
        <v/>
      </c>
      <c r="J628" s="17" t="str">
        <f aca="false">IF($B628="","",H628-I628)</f>
        <v/>
      </c>
      <c r="K628" s="16" t="str">
        <f aca="false">IF($A628="","",DATE(YEAR($A628),MONTH($A628),1))</f>
        <v/>
      </c>
    </row>
    <row r="629" customFormat="false" ht="15" hidden="false" customHeight="false" outlineLevel="0" collapsed="false">
      <c r="A629" s="25"/>
      <c r="B629" s="19"/>
      <c r="C629" s="19"/>
      <c r="D629" s="26"/>
      <c r="E629" s="27" t="str">
        <f aca="false">IF($B629="","",IFERROR(INDEX(Products!$B$2:$B$201,MATCH($B629,Products!$A$2:$A$201,0)),"Unknown code"))</f>
        <v/>
      </c>
      <c r="F629" s="22" t="str">
        <f aca="false">IF($B629="","",IFERROR(INDEX(Products!$C$2:$C$201,MATCH($B629,Products!$A$2:$A$201,0)),""))</f>
        <v/>
      </c>
      <c r="G629" s="17" t="str">
        <f aca="false">IF($B629="","",IFERROR(INDEX(Products!$D$2:$D$201,MATCH($B629,Products!$A$2:$A$201,0)),0))</f>
        <v/>
      </c>
      <c r="H629" s="17" t="str">
        <f aca="false">IF($B629="","",C629*G629*(1-D629))</f>
        <v/>
      </c>
      <c r="I629" s="17" t="str">
        <f aca="false">IF($B629="","",C629*IFERROR(INDEX(Products!$E$2:$E$201,MATCH($B629,Products!$A$2:$A$201,0)),0))</f>
        <v/>
      </c>
      <c r="J629" s="17" t="str">
        <f aca="false">IF($B629="","",H629-I629)</f>
        <v/>
      </c>
      <c r="K629" s="16" t="str">
        <f aca="false">IF($A629="","",DATE(YEAR($A629),MONTH($A629),1))</f>
        <v/>
      </c>
    </row>
    <row r="630" customFormat="false" ht="15" hidden="false" customHeight="false" outlineLevel="0" collapsed="false">
      <c r="A630" s="25"/>
      <c r="B630" s="19"/>
      <c r="C630" s="19"/>
      <c r="D630" s="26"/>
      <c r="E630" s="27" t="str">
        <f aca="false">IF($B630="","",IFERROR(INDEX(Products!$B$2:$B$201,MATCH($B630,Products!$A$2:$A$201,0)),"Unknown code"))</f>
        <v/>
      </c>
      <c r="F630" s="22" t="str">
        <f aca="false">IF($B630="","",IFERROR(INDEX(Products!$C$2:$C$201,MATCH($B630,Products!$A$2:$A$201,0)),""))</f>
        <v/>
      </c>
      <c r="G630" s="17" t="str">
        <f aca="false">IF($B630="","",IFERROR(INDEX(Products!$D$2:$D$201,MATCH($B630,Products!$A$2:$A$201,0)),0))</f>
        <v/>
      </c>
      <c r="H630" s="17" t="str">
        <f aca="false">IF($B630="","",C630*G630*(1-D630))</f>
        <v/>
      </c>
      <c r="I630" s="17" t="str">
        <f aca="false">IF($B630="","",C630*IFERROR(INDEX(Products!$E$2:$E$201,MATCH($B630,Products!$A$2:$A$201,0)),0))</f>
        <v/>
      </c>
      <c r="J630" s="17" t="str">
        <f aca="false">IF($B630="","",H630-I630)</f>
        <v/>
      </c>
      <c r="K630" s="16" t="str">
        <f aca="false">IF($A630="","",DATE(YEAR($A630),MONTH($A630),1))</f>
        <v/>
      </c>
    </row>
    <row r="631" customFormat="false" ht="15" hidden="false" customHeight="false" outlineLevel="0" collapsed="false">
      <c r="A631" s="25"/>
      <c r="B631" s="19"/>
      <c r="C631" s="19"/>
      <c r="D631" s="26"/>
      <c r="E631" s="27" t="str">
        <f aca="false">IF($B631="","",IFERROR(INDEX(Products!$B$2:$B$201,MATCH($B631,Products!$A$2:$A$201,0)),"Unknown code"))</f>
        <v/>
      </c>
      <c r="F631" s="22" t="str">
        <f aca="false">IF($B631="","",IFERROR(INDEX(Products!$C$2:$C$201,MATCH($B631,Products!$A$2:$A$201,0)),""))</f>
        <v/>
      </c>
      <c r="G631" s="17" t="str">
        <f aca="false">IF($B631="","",IFERROR(INDEX(Products!$D$2:$D$201,MATCH($B631,Products!$A$2:$A$201,0)),0))</f>
        <v/>
      </c>
      <c r="H631" s="17" t="str">
        <f aca="false">IF($B631="","",C631*G631*(1-D631))</f>
        <v/>
      </c>
      <c r="I631" s="17" t="str">
        <f aca="false">IF($B631="","",C631*IFERROR(INDEX(Products!$E$2:$E$201,MATCH($B631,Products!$A$2:$A$201,0)),0))</f>
        <v/>
      </c>
      <c r="J631" s="17" t="str">
        <f aca="false">IF($B631="","",H631-I631)</f>
        <v/>
      </c>
      <c r="K631" s="16" t="str">
        <f aca="false">IF($A631="","",DATE(YEAR($A631),MONTH($A631),1))</f>
        <v/>
      </c>
    </row>
    <row r="632" customFormat="false" ht="15" hidden="false" customHeight="false" outlineLevel="0" collapsed="false">
      <c r="A632" s="25"/>
      <c r="B632" s="19"/>
      <c r="C632" s="19"/>
      <c r="D632" s="26"/>
      <c r="E632" s="27" t="str">
        <f aca="false">IF($B632="","",IFERROR(INDEX(Products!$B$2:$B$201,MATCH($B632,Products!$A$2:$A$201,0)),"Unknown code"))</f>
        <v/>
      </c>
      <c r="F632" s="22" t="str">
        <f aca="false">IF($B632="","",IFERROR(INDEX(Products!$C$2:$C$201,MATCH($B632,Products!$A$2:$A$201,0)),""))</f>
        <v/>
      </c>
      <c r="G632" s="17" t="str">
        <f aca="false">IF($B632="","",IFERROR(INDEX(Products!$D$2:$D$201,MATCH($B632,Products!$A$2:$A$201,0)),0))</f>
        <v/>
      </c>
      <c r="H632" s="17" t="str">
        <f aca="false">IF($B632="","",C632*G632*(1-D632))</f>
        <v/>
      </c>
      <c r="I632" s="17" t="str">
        <f aca="false">IF($B632="","",C632*IFERROR(INDEX(Products!$E$2:$E$201,MATCH($B632,Products!$A$2:$A$201,0)),0))</f>
        <v/>
      </c>
      <c r="J632" s="17" t="str">
        <f aca="false">IF($B632="","",H632-I632)</f>
        <v/>
      </c>
      <c r="K632" s="16" t="str">
        <f aca="false">IF($A632="","",DATE(YEAR($A632),MONTH($A632),1))</f>
        <v/>
      </c>
    </row>
    <row r="633" customFormat="false" ht="15" hidden="false" customHeight="false" outlineLevel="0" collapsed="false">
      <c r="A633" s="25"/>
      <c r="B633" s="19"/>
      <c r="C633" s="19"/>
      <c r="D633" s="26"/>
      <c r="E633" s="27" t="str">
        <f aca="false">IF($B633="","",IFERROR(INDEX(Products!$B$2:$B$201,MATCH($B633,Products!$A$2:$A$201,0)),"Unknown code"))</f>
        <v/>
      </c>
      <c r="F633" s="22" t="str">
        <f aca="false">IF($B633="","",IFERROR(INDEX(Products!$C$2:$C$201,MATCH($B633,Products!$A$2:$A$201,0)),""))</f>
        <v/>
      </c>
      <c r="G633" s="17" t="str">
        <f aca="false">IF($B633="","",IFERROR(INDEX(Products!$D$2:$D$201,MATCH($B633,Products!$A$2:$A$201,0)),0))</f>
        <v/>
      </c>
      <c r="H633" s="17" t="str">
        <f aca="false">IF($B633="","",C633*G633*(1-D633))</f>
        <v/>
      </c>
      <c r="I633" s="17" t="str">
        <f aca="false">IF($B633="","",C633*IFERROR(INDEX(Products!$E$2:$E$201,MATCH($B633,Products!$A$2:$A$201,0)),0))</f>
        <v/>
      </c>
      <c r="J633" s="17" t="str">
        <f aca="false">IF($B633="","",H633-I633)</f>
        <v/>
      </c>
      <c r="K633" s="16" t="str">
        <f aca="false">IF($A633="","",DATE(YEAR($A633),MONTH($A633),1))</f>
        <v/>
      </c>
    </row>
    <row r="634" customFormat="false" ht="15" hidden="false" customHeight="false" outlineLevel="0" collapsed="false">
      <c r="A634" s="25"/>
      <c r="B634" s="19"/>
      <c r="C634" s="19"/>
      <c r="D634" s="26"/>
      <c r="E634" s="27" t="str">
        <f aca="false">IF($B634="","",IFERROR(INDEX(Products!$B$2:$B$201,MATCH($B634,Products!$A$2:$A$201,0)),"Unknown code"))</f>
        <v/>
      </c>
      <c r="F634" s="22" t="str">
        <f aca="false">IF($B634="","",IFERROR(INDEX(Products!$C$2:$C$201,MATCH($B634,Products!$A$2:$A$201,0)),""))</f>
        <v/>
      </c>
      <c r="G634" s="17" t="str">
        <f aca="false">IF($B634="","",IFERROR(INDEX(Products!$D$2:$D$201,MATCH($B634,Products!$A$2:$A$201,0)),0))</f>
        <v/>
      </c>
      <c r="H634" s="17" t="str">
        <f aca="false">IF($B634="","",C634*G634*(1-D634))</f>
        <v/>
      </c>
      <c r="I634" s="17" t="str">
        <f aca="false">IF($B634="","",C634*IFERROR(INDEX(Products!$E$2:$E$201,MATCH($B634,Products!$A$2:$A$201,0)),0))</f>
        <v/>
      </c>
      <c r="J634" s="17" t="str">
        <f aca="false">IF($B634="","",H634-I634)</f>
        <v/>
      </c>
      <c r="K634" s="16" t="str">
        <f aca="false">IF($A634="","",DATE(YEAR($A634),MONTH($A634),1))</f>
        <v/>
      </c>
    </row>
    <row r="635" customFormat="false" ht="15" hidden="false" customHeight="false" outlineLevel="0" collapsed="false">
      <c r="A635" s="25"/>
      <c r="B635" s="19"/>
      <c r="C635" s="19"/>
      <c r="D635" s="26"/>
      <c r="E635" s="27" t="str">
        <f aca="false">IF($B635="","",IFERROR(INDEX(Products!$B$2:$B$201,MATCH($B635,Products!$A$2:$A$201,0)),"Unknown code"))</f>
        <v/>
      </c>
      <c r="F635" s="22" t="str">
        <f aca="false">IF($B635="","",IFERROR(INDEX(Products!$C$2:$C$201,MATCH($B635,Products!$A$2:$A$201,0)),""))</f>
        <v/>
      </c>
      <c r="G635" s="17" t="str">
        <f aca="false">IF($B635="","",IFERROR(INDEX(Products!$D$2:$D$201,MATCH($B635,Products!$A$2:$A$201,0)),0))</f>
        <v/>
      </c>
      <c r="H635" s="17" t="str">
        <f aca="false">IF($B635="","",C635*G635*(1-D635))</f>
        <v/>
      </c>
      <c r="I635" s="17" t="str">
        <f aca="false">IF($B635="","",C635*IFERROR(INDEX(Products!$E$2:$E$201,MATCH($B635,Products!$A$2:$A$201,0)),0))</f>
        <v/>
      </c>
      <c r="J635" s="17" t="str">
        <f aca="false">IF($B635="","",H635-I635)</f>
        <v/>
      </c>
      <c r="K635" s="16" t="str">
        <f aca="false">IF($A635="","",DATE(YEAR($A635),MONTH($A635),1))</f>
        <v/>
      </c>
    </row>
    <row r="636" customFormat="false" ht="15" hidden="false" customHeight="false" outlineLevel="0" collapsed="false">
      <c r="A636" s="25"/>
      <c r="B636" s="19"/>
      <c r="C636" s="19"/>
      <c r="D636" s="26"/>
      <c r="E636" s="27" t="str">
        <f aca="false">IF($B636="","",IFERROR(INDEX(Products!$B$2:$B$201,MATCH($B636,Products!$A$2:$A$201,0)),"Unknown code"))</f>
        <v/>
      </c>
      <c r="F636" s="22" t="str">
        <f aca="false">IF($B636="","",IFERROR(INDEX(Products!$C$2:$C$201,MATCH($B636,Products!$A$2:$A$201,0)),""))</f>
        <v/>
      </c>
      <c r="G636" s="17" t="str">
        <f aca="false">IF($B636="","",IFERROR(INDEX(Products!$D$2:$D$201,MATCH($B636,Products!$A$2:$A$201,0)),0))</f>
        <v/>
      </c>
      <c r="H636" s="17" t="str">
        <f aca="false">IF($B636="","",C636*G636*(1-D636))</f>
        <v/>
      </c>
      <c r="I636" s="17" t="str">
        <f aca="false">IF($B636="","",C636*IFERROR(INDEX(Products!$E$2:$E$201,MATCH($B636,Products!$A$2:$A$201,0)),0))</f>
        <v/>
      </c>
      <c r="J636" s="17" t="str">
        <f aca="false">IF($B636="","",H636-I636)</f>
        <v/>
      </c>
      <c r="K636" s="16" t="str">
        <f aca="false">IF($A636="","",DATE(YEAR($A636),MONTH($A636),1))</f>
        <v/>
      </c>
    </row>
    <row r="637" customFormat="false" ht="15" hidden="false" customHeight="false" outlineLevel="0" collapsed="false">
      <c r="A637" s="25"/>
      <c r="B637" s="19"/>
      <c r="C637" s="19"/>
      <c r="D637" s="26"/>
      <c r="E637" s="27" t="str">
        <f aca="false">IF($B637="","",IFERROR(INDEX(Products!$B$2:$B$201,MATCH($B637,Products!$A$2:$A$201,0)),"Unknown code"))</f>
        <v/>
      </c>
      <c r="F637" s="22" t="str">
        <f aca="false">IF($B637="","",IFERROR(INDEX(Products!$C$2:$C$201,MATCH($B637,Products!$A$2:$A$201,0)),""))</f>
        <v/>
      </c>
      <c r="G637" s="17" t="str">
        <f aca="false">IF($B637="","",IFERROR(INDEX(Products!$D$2:$D$201,MATCH($B637,Products!$A$2:$A$201,0)),0))</f>
        <v/>
      </c>
      <c r="H637" s="17" t="str">
        <f aca="false">IF($B637="","",C637*G637*(1-D637))</f>
        <v/>
      </c>
      <c r="I637" s="17" t="str">
        <f aca="false">IF($B637="","",C637*IFERROR(INDEX(Products!$E$2:$E$201,MATCH($B637,Products!$A$2:$A$201,0)),0))</f>
        <v/>
      </c>
      <c r="J637" s="17" t="str">
        <f aca="false">IF($B637="","",H637-I637)</f>
        <v/>
      </c>
      <c r="K637" s="16" t="str">
        <f aca="false">IF($A637="","",DATE(YEAR($A637),MONTH($A637),1))</f>
        <v/>
      </c>
    </row>
    <row r="638" customFormat="false" ht="15" hidden="false" customHeight="false" outlineLevel="0" collapsed="false">
      <c r="A638" s="25"/>
      <c r="B638" s="19"/>
      <c r="C638" s="19"/>
      <c r="D638" s="26"/>
      <c r="E638" s="27" t="str">
        <f aca="false">IF($B638="","",IFERROR(INDEX(Products!$B$2:$B$201,MATCH($B638,Products!$A$2:$A$201,0)),"Unknown code"))</f>
        <v/>
      </c>
      <c r="F638" s="22" t="str">
        <f aca="false">IF($B638="","",IFERROR(INDEX(Products!$C$2:$C$201,MATCH($B638,Products!$A$2:$A$201,0)),""))</f>
        <v/>
      </c>
      <c r="G638" s="17" t="str">
        <f aca="false">IF($B638="","",IFERROR(INDEX(Products!$D$2:$D$201,MATCH($B638,Products!$A$2:$A$201,0)),0))</f>
        <v/>
      </c>
      <c r="H638" s="17" t="str">
        <f aca="false">IF($B638="","",C638*G638*(1-D638))</f>
        <v/>
      </c>
      <c r="I638" s="17" t="str">
        <f aca="false">IF($B638="","",C638*IFERROR(INDEX(Products!$E$2:$E$201,MATCH($B638,Products!$A$2:$A$201,0)),0))</f>
        <v/>
      </c>
      <c r="J638" s="17" t="str">
        <f aca="false">IF($B638="","",H638-I638)</f>
        <v/>
      </c>
      <c r="K638" s="16" t="str">
        <f aca="false">IF($A638="","",DATE(YEAR($A638),MONTH($A638),1))</f>
        <v/>
      </c>
    </row>
    <row r="639" customFormat="false" ht="15" hidden="false" customHeight="false" outlineLevel="0" collapsed="false">
      <c r="A639" s="25"/>
      <c r="B639" s="19"/>
      <c r="C639" s="19"/>
      <c r="D639" s="26"/>
      <c r="E639" s="27" t="str">
        <f aca="false">IF($B639="","",IFERROR(INDEX(Products!$B$2:$B$201,MATCH($B639,Products!$A$2:$A$201,0)),"Unknown code"))</f>
        <v/>
      </c>
      <c r="F639" s="22" t="str">
        <f aca="false">IF($B639="","",IFERROR(INDEX(Products!$C$2:$C$201,MATCH($B639,Products!$A$2:$A$201,0)),""))</f>
        <v/>
      </c>
      <c r="G639" s="17" t="str">
        <f aca="false">IF($B639="","",IFERROR(INDEX(Products!$D$2:$D$201,MATCH($B639,Products!$A$2:$A$201,0)),0))</f>
        <v/>
      </c>
      <c r="H639" s="17" t="str">
        <f aca="false">IF($B639="","",C639*G639*(1-D639))</f>
        <v/>
      </c>
      <c r="I639" s="17" t="str">
        <f aca="false">IF($B639="","",C639*IFERROR(INDEX(Products!$E$2:$E$201,MATCH($B639,Products!$A$2:$A$201,0)),0))</f>
        <v/>
      </c>
      <c r="J639" s="17" t="str">
        <f aca="false">IF($B639="","",H639-I639)</f>
        <v/>
      </c>
      <c r="K639" s="16" t="str">
        <f aca="false">IF($A639="","",DATE(YEAR($A639),MONTH($A639),1))</f>
        <v/>
      </c>
    </row>
    <row r="640" customFormat="false" ht="15" hidden="false" customHeight="false" outlineLevel="0" collapsed="false">
      <c r="A640" s="25"/>
      <c r="B640" s="19"/>
      <c r="C640" s="19"/>
      <c r="D640" s="26"/>
      <c r="E640" s="27" t="str">
        <f aca="false">IF($B640="","",IFERROR(INDEX(Products!$B$2:$B$201,MATCH($B640,Products!$A$2:$A$201,0)),"Unknown code"))</f>
        <v/>
      </c>
      <c r="F640" s="22" t="str">
        <f aca="false">IF($B640="","",IFERROR(INDEX(Products!$C$2:$C$201,MATCH($B640,Products!$A$2:$A$201,0)),""))</f>
        <v/>
      </c>
      <c r="G640" s="17" t="str">
        <f aca="false">IF($B640="","",IFERROR(INDEX(Products!$D$2:$D$201,MATCH($B640,Products!$A$2:$A$201,0)),0))</f>
        <v/>
      </c>
      <c r="H640" s="17" t="str">
        <f aca="false">IF($B640="","",C640*G640*(1-D640))</f>
        <v/>
      </c>
      <c r="I640" s="17" t="str">
        <f aca="false">IF($B640="","",C640*IFERROR(INDEX(Products!$E$2:$E$201,MATCH($B640,Products!$A$2:$A$201,0)),0))</f>
        <v/>
      </c>
      <c r="J640" s="17" t="str">
        <f aca="false">IF($B640="","",H640-I640)</f>
        <v/>
      </c>
      <c r="K640" s="16" t="str">
        <f aca="false">IF($A640="","",DATE(YEAR($A640),MONTH($A640),1))</f>
        <v/>
      </c>
    </row>
    <row r="641" customFormat="false" ht="15" hidden="false" customHeight="false" outlineLevel="0" collapsed="false">
      <c r="A641" s="25"/>
      <c r="B641" s="19"/>
      <c r="C641" s="19"/>
      <c r="D641" s="26"/>
      <c r="E641" s="27" t="str">
        <f aca="false">IF($B641="","",IFERROR(INDEX(Products!$B$2:$B$201,MATCH($B641,Products!$A$2:$A$201,0)),"Unknown code"))</f>
        <v/>
      </c>
      <c r="F641" s="22" t="str">
        <f aca="false">IF($B641="","",IFERROR(INDEX(Products!$C$2:$C$201,MATCH($B641,Products!$A$2:$A$201,0)),""))</f>
        <v/>
      </c>
      <c r="G641" s="17" t="str">
        <f aca="false">IF($B641="","",IFERROR(INDEX(Products!$D$2:$D$201,MATCH($B641,Products!$A$2:$A$201,0)),0))</f>
        <v/>
      </c>
      <c r="H641" s="17" t="str">
        <f aca="false">IF($B641="","",C641*G641*(1-D641))</f>
        <v/>
      </c>
      <c r="I641" s="17" t="str">
        <f aca="false">IF($B641="","",C641*IFERROR(INDEX(Products!$E$2:$E$201,MATCH($B641,Products!$A$2:$A$201,0)),0))</f>
        <v/>
      </c>
      <c r="J641" s="17" t="str">
        <f aca="false">IF($B641="","",H641-I641)</f>
        <v/>
      </c>
      <c r="K641" s="16" t="str">
        <f aca="false">IF($A641="","",DATE(YEAR($A641),MONTH($A641),1))</f>
        <v/>
      </c>
    </row>
    <row r="642" customFormat="false" ht="15" hidden="false" customHeight="false" outlineLevel="0" collapsed="false">
      <c r="A642" s="25"/>
      <c r="B642" s="19"/>
      <c r="C642" s="19"/>
      <c r="D642" s="26"/>
      <c r="E642" s="27" t="str">
        <f aca="false">IF($B642="","",IFERROR(INDEX(Products!$B$2:$B$201,MATCH($B642,Products!$A$2:$A$201,0)),"Unknown code"))</f>
        <v/>
      </c>
      <c r="F642" s="22" t="str">
        <f aca="false">IF($B642="","",IFERROR(INDEX(Products!$C$2:$C$201,MATCH($B642,Products!$A$2:$A$201,0)),""))</f>
        <v/>
      </c>
      <c r="G642" s="17" t="str">
        <f aca="false">IF($B642="","",IFERROR(INDEX(Products!$D$2:$D$201,MATCH($B642,Products!$A$2:$A$201,0)),0))</f>
        <v/>
      </c>
      <c r="H642" s="17" t="str">
        <f aca="false">IF($B642="","",C642*G642*(1-D642))</f>
        <v/>
      </c>
      <c r="I642" s="17" t="str">
        <f aca="false">IF($B642="","",C642*IFERROR(INDEX(Products!$E$2:$E$201,MATCH($B642,Products!$A$2:$A$201,0)),0))</f>
        <v/>
      </c>
      <c r="J642" s="17" t="str">
        <f aca="false">IF($B642="","",H642-I642)</f>
        <v/>
      </c>
      <c r="K642" s="16" t="str">
        <f aca="false">IF($A642="","",DATE(YEAR($A642),MONTH($A642),1))</f>
        <v/>
      </c>
    </row>
    <row r="643" customFormat="false" ht="15" hidden="false" customHeight="false" outlineLevel="0" collapsed="false">
      <c r="A643" s="25"/>
      <c r="B643" s="19"/>
      <c r="C643" s="19"/>
      <c r="D643" s="26"/>
      <c r="E643" s="27" t="str">
        <f aca="false">IF($B643="","",IFERROR(INDEX(Products!$B$2:$B$201,MATCH($B643,Products!$A$2:$A$201,0)),"Unknown code"))</f>
        <v/>
      </c>
      <c r="F643" s="22" t="str">
        <f aca="false">IF($B643="","",IFERROR(INDEX(Products!$C$2:$C$201,MATCH($B643,Products!$A$2:$A$201,0)),""))</f>
        <v/>
      </c>
      <c r="G643" s="17" t="str">
        <f aca="false">IF($B643="","",IFERROR(INDEX(Products!$D$2:$D$201,MATCH($B643,Products!$A$2:$A$201,0)),0))</f>
        <v/>
      </c>
      <c r="H643" s="17" t="str">
        <f aca="false">IF($B643="","",C643*G643*(1-D643))</f>
        <v/>
      </c>
      <c r="I643" s="17" t="str">
        <f aca="false">IF($B643="","",C643*IFERROR(INDEX(Products!$E$2:$E$201,MATCH($B643,Products!$A$2:$A$201,0)),0))</f>
        <v/>
      </c>
      <c r="J643" s="17" t="str">
        <f aca="false">IF($B643="","",H643-I643)</f>
        <v/>
      </c>
      <c r="K643" s="16" t="str">
        <f aca="false">IF($A643="","",DATE(YEAR($A643),MONTH($A643),1))</f>
        <v/>
      </c>
    </row>
    <row r="644" customFormat="false" ht="15" hidden="false" customHeight="false" outlineLevel="0" collapsed="false">
      <c r="A644" s="25"/>
      <c r="B644" s="19"/>
      <c r="C644" s="19"/>
      <c r="D644" s="26"/>
      <c r="E644" s="27" t="str">
        <f aca="false">IF($B644="","",IFERROR(INDEX(Products!$B$2:$B$201,MATCH($B644,Products!$A$2:$A$201,0)),"Unknown code"))</f>
        <v/>
      </c>
      <c r="F644" s="22" t="str">
        <f aca="false">IF($B644="","",IFERROR(INDEX(Products!$C$2:$C$201,MATCH($B644,Products!$A$2:$A$201,0)),""))</f>
        <v/>
      </c>
      <c r="G644" s="17" t="str">
        <f aca="false">IF($B644="","",IFERROR(INDEX(Products!$D$2:$D$201,MATCH($B644,Products!$A$2:$A$201,0)),0))</f>
        <v/>
      </c>
      <c r="H644" s="17" t="str">
        <f aca="false">IF($B644="","",C644*G644*(1-D644))</f>
        <v/>
      </c>
      <c r="I644" s="17" t="str">
        <f aca="false">IF($B644="","",C644*IFERROR(INDEX(Products!$E$2:$E$201,MATCH($B644,Products!$A$2:$A$201,0)),0))</f>
        <v/>
      </c>
      <c r="J644" s="17" t="str">
        <f aca="false">IF($B644="","",H644-I644)</f>
        <v/>
      </c>
      <c r="K644" s="16" t="str">
        <f aca="false">IF($A644="","",DATE(YEAR($A644),MONTH($A644),1))</f>
        <v/>
      </c>
    </row>
    <row r="645" customFormat="false" ht="15" hidden="false" customHeight="false" outlineLevel="0" collapsed="false">
      <c r="A645" s="25"/>
      <c r="B645" s="19"/>
      <c r="C645" s="19"/>
      <c r="D645" s="26"/>
      <c r="E645" s="27" t="str">
        <f aca="false">IF($B645="","",IFERROR(INDEX(Products!$B$2:$B$201,MATCH($B645,Products!$A$2:$A$201,0)),"Unknown code"))</f>
        <v/>
      </c>
      <c r="F645" s="22" t="str">
        <f aca="false">IF($B645="","",IFERROR(INDEX(Products!$C$2:$C$201,MATCH($B645,Products!$A$2:$A$201,0)),""))</f>
        <v/>
      </c>
      <c r="G645" s="17" t="str">
        <f aca="false">IF($B645="","",IFERROR(INDEX(Products!$D$2:$D$201,MATCH($B645,Products!$A$2:$A$201,0)),0))</f>
        <v/>
      </c>
      <c r="H645" s="17" t="str">
        <f aca="false">IF($B645="","",C645*G645*(1-D645))</f>
        <v/>
      </c>
      <c r="I645" s="17" t="str">
        <f aca="false">IF($B645="","",C645*IFERROR(INDEX(Products!$E$2:$E$201,MATCH($B645,Products!$A$2:$A$201,0)),0))</f>
        <v/>
      </c>
      <c r="J645" s="17" t="str">
        <f aca="false">IF($B645="","",H645-I645)</f>
        <v/>
      </c>
      <c r="K645" s="16" t="str">
        <f aca="false">IF($A645="","",DATE(YEAR($A645),MONTH($A645),1))</f>
        <v/>
      </c>
    </row>
    <row r="646" customFormat="false" ht="15" hidden="false" customHeight="false" outlineLevel="0" collapsed="false">
      <c r="A646" s="25"/>
      <c r="B646" s="19"/>
      <c r="C646" s="19"/>
      <c r="D646" s="26"/>
      <c r="E646" s="27" t="str">
        <f aca="false">IF($B646="","",IFERROR(INDEX(Products!$B$2:$B$201,MATCH($B646,Products!$A$2:$A$201,0)),"Unknown code"))</f>
        <v/>
      </c>
      <c r="F646" s="22" t="str">
        <f aca="false">IF($B646="","",IFERROR(INDEX(Products!$C$2:$C$201,MATCH($B646,Products!$A$2:$A$201,0)),""))</f>
        <v/>
      </c>
      <c r="G646" s="17" t="str">
        <f aca="false">IF($B646="","",IFERROR(INDEX(Products!$D$2:$D$201,MATCH($B646,Products!$A$2:$A$201,0)),0))</f>
        <v/>
      </c>
      <c r="H646" s="17" t="str">
        <f aca="false">IF($B646="","",C646*G646*(1-D646))</f>
        <v/>
      </c>
      <c r="I646" s="17" t="str">
        <f aca="false">IF($B646="","",C646*IFERROR(INDEX(Products!$E$2:$E$201,MATCH($B646,Products!$A$2:$A$201,0)),0))</f>
        <v/>
      </c>
      <c r="J646" s="17" t="str">
        <f aca="false">IF($B646="","",H646-I646)</f>
        <v/>
      </c>
      <c r="K646" s="16" t="str">
        <f aca="false">IF($A646="","",DATE(YEAR($A646),MONTH($A646),1))</f>
        <v/>
      </c>
    </row>
    <row r="647" customFormat="false" ht="15" hidden="false" customHeight="false" outlineLevel="0" collapsed="false">
      <c r="A647" s="25"/>
      <c r="B647" s="19"/>
      <c r="C647" s="19"/>
      <c r="D647" s="26"/>
      <c r="E647" s="27" t="str">
        <f aca="false">IF($B647="","",IFERROR(INDEX(Products!$B$2:$B$201,MATCH($B647,Products!$A$2:$A$201,0)),"Unknown code"))</f>
        <v/>
      </c>
      <c r="F647" s="22" t="str">
        <f aca="false">IF($B647="","",IFERROR(INDEX(Products!$C$2:$C$201,MATCH($B647,Products!$A$2:$A$201,0)),""))</f>
        <v/>
      </c>
      <c r="G647" s="17" t="str">
        <f aca="false">IF($B647="","",IFERROR(INDEX(Products!$D$2:$D$201,MATCH($B647,Products!$A$2:$A$201,0)),0))</f>
        <v/>
      </c>
      <c r="H647" s="17" t="str">
        <f aca="false">IF($B647="","",C647*G647*(1-D647))</f>
        <v/>
      </c>
      <c r="I647" s="17" t="str">
        <f aca="false">IF($B647="","",C647*IFERROR(INDEX(Products!$E$2:$E$201,MATCH($B647,Products!$A$2:$A$201,0)),0))</f>
        <v/>
      </c>
      <c r="J647" s="17" t="str">
        <f aca="false">IF($B647="","",H647-I647)</f>
        <v/>
      </c>
      <c r="K647" s="16" t="str">
        <f aca="false">IF($A647="","",DATE(YEAR($A647),MONTH($A647),1))</f>
        <v/>
      </c>
    </row>
    <row r="648" customFormat="false" ht="15" hidden="false" customHeight="false" outlineLevel="0" collapsed="false">
      <c r="A648" s="25"/>
      <c r="B648" s="19"/>
      <c r="C648" s="19"/>
      <c r="D648" s="26"/>
      <c r="E648" s="27" t="str">
        <f aca="false">IF($B648="","",IFERROR(INDEX(Products!$B$2:$B$201,MATCH($B648,Products!$A$2:$A$201,0)),"Unknown code"))</f>
        <v/>
      </c>
      <c r="F648" s="22" t="str">
        <f aca="false">IF($B648="","",IFERROR(INDEX(Products!$C$2:$C$201,MATCH($B648,Products!$A$2:$A$201,0)),""))</f>
        <v/>
      </c>
      <c r="G648" s="17" t="str">
        <f aca="false">IF($B648="","",IFERROR(INDEX(Products!$D$2:$D$201,MATCH($B648,Products!$A$2:$A$201,0)),0))</f>
        <v/>
      </c>
      <c r="H648" s="17" t="str">
        <f aca="false">IF($B648="","",C648*G648*(1-D648))</f>
        <v/>
      </c>
      <c r="I648" s="17" t="str">
        <f aca="false">IF($B648="","",C648*IFERROR(INDEX(Products!$E$2:$E$201,MATCH($B648,Products!$A$2:$A$201,0)),0))</f>
        <v/>
      </c>
      <c r="J648" s="17" t="str">
        <f aca="false">IF($B648="","",H648-I648)</f>
        <v/>
      </c>
      <c r="K648" s="16" t="str">
        <f aca="false">IF($A648="","",DATE(YEAR($A648),MONTH($A648),1))</f>
        <v/>
      </c>
    </row>
    <row r="649" customFormat="false" ht="15" hidden="false" customHeight="false" outlineLevel="0" collapsed="false">
      <c r="A649" s="25"/>
      <c r="B649" s="19"/>
      <c r="C649" s="19"/>
      <c r="D649" s="26"/>
      <c r="E649" s="27" t="str">
        <f aca="false">IF($B649="","",IFERROR(INDEX(Products!$B$2:$B$201,MATCH($B649,Products!$A$2:$A$201,0)),"Unknown code"))</f>
        <v/>
      </c>
      <c r="F649" s="22" t="str">
        <f aca="false">IF($B649="","",IFERROR(INDEX(Products!$C$2:$C$201,MATCH($B649,Products!$A$2:$A$201,0)),""))</f>
        <v/>
      </c>
      <c r="G649" s="17" t="str">
        <f aca="false">IF($B649="","",IFERROR(INDEX(Products!$D$2:$D$201,MATCH($B649,Products!$A$2:$A$201,0)),0))</f>
        <v/>
      </c>
      <c r="H649" s="17" t="str">
        <f aca="false">IF($B649="","",C649*G649*(1-D649))</f>
        <v/>
      </c>
      <c r="I649" s="17" t="str">
        <f aca="false">IF($B649="","",C649*IFERROR(INDEX(Products!$E$2:$E$201,MATCH($B649,Products!$A$2:$A$201,0)),0))</f>
        <v/>
      </c>
      <c r="J649" s="17" t="str">
        <f aca="false">IF($B649="","",H649-I649)</f>
        <v/>
      </c>
      <c r="K649" s="16" t="str">
        <f aca="false">IF($A649="","",DATE(YEAR($A649),MONTH($A649),1))</f>
        <v/>
      </c>
    </row>
    <row r="650" customFormat="false" ht="15" hidden="false" customHeight="false" outlineLevel="0" collapsed="false">
      <c r="A650" s="25"/>
      <c r="B650" s="19"/>
      <c r="C650" s="19"/>
      <c r="D650" s="26"/>
      <c r="E650" s="27" t="str">
        <f aca="false">IF($B650="","",IFERROR(INDEX(Products!$B$2:$B$201,MATCH($B650,Products!$A$2:$A$201,0)),"Unknown code"))</f>
        <v/>
      </c>
      <c r="F650" s="22" t="str">
        <f aca="false">IF($B650="","",IFERROR(INDEX(Products!$C$2:$C$201,MATCH($B650,Products!$A$2:$A$201,0)),""))</f>
        <v/>
      </c>
      <c r="G650" s="17" t="str">
        <f aca="false">IF($B650="","",IFERROR(INDEX(Products!$D$2:$D$201,MATCH($B650,Products!$A$2:$A$201,0)),0))</f>
        <v/>
      </c>
      <c r="H650" s="17" t="str">
        <f aca="false">IF($B650="","",C650*G650*(1-D650))</f>
        <v/>
      </c>
      <c r="I650" s="17" t="str">
        <f aca="false">IF($B650="","",C650*IFERROR(INDEX(Products!$E$2:$E$201,MATCH($B650,Products!$A$2:$A$201,0)),0))</f>
        <v/>
      </c>
      <c r="J650" s="17" t="str">
        <f aca="false">IF($B650="","",H650-I650)</f>
        <v/>
      </c>
      <c r="K650" s="16" t="str">
        <f aca="false">IF($A650="","",DATE(YEAR($A650),MONTH($A650),1))</f>
        <v/>
      </c>
    </row>
    <row r="651" customFormat="false" ht="15" hidden="false" customHeight="false" outlineLevel="0" collapsed="false">
      <c r="A651" s="25"/>
      <c r="B651" s="19"/>
      <c r="C651" s="19"/>
      <c r="D651" s="26"/>
      <c r="E651" s="27" t="str">
        <f aca="false">IF($B651="","",IFERROR(INDEX(Products!$B$2:$B$201,MATCH($B651,Products!$A$2:$A$201,0)),"Unknown code"))</f>
        <v/>
      </c>
      <c r="F651" s="22" t="str">
        <f aca="false">IF($B651="","",IFERROR(INDEX(Products!$C$2:$C$201,MATCH($B651,Products!$A$2:$A$201,0)),""))</f>
        <v/>
      </c>
      <c r="G651" s="17" t="str">
        <f aca="false">IF($B651="","",IFERROR(INDEX(Products!$D$2:$D$201,MATCH($B651,Products!$A$2:$A$201,0)),0))</f>
        <v/>
      </c>
      <c r="H651" s="17" t="str">
        <f aca="false">IF($B651="","",C651*G651*(1-D651))</f>
        <v/>
      </c>
      <c r="I651" s="17" t="str">
        <f aca="false">IF($B651="","",C651*IFERROR(INDEX(Products!$E$2:$E$201,MATCH($B651,Products!$A$2:$A$201,0)),0))</f>
        <v/>
      </c>
      <c r="J651" s="17" t="str">
        <f aca="false">IF($B651="","",H651-I651)</f>
        <v/>
      </c>
      <c r="K651" s="16" t="str">
        <f aca="false">IF($A651="","",DATE(YEAR($A651),MONTH($A651),1))</f>
        <v/>
      </c>
    </row>
    <row r="652" customFormat="false" ht="15" hidden="false" customHeight="false" outlineLevel="0" collapsed="false">
      <c r="A652" s="25"/>
      <c r="B652" s="19"/>
      <c r="C652" s="19"/>
      <c r="D652" s="26"/>
      <c r="E652" s="27" t="str">
        <f aca="false">IF($B652="","",IFERROR(INDEX(Products!$B$2:$B$201,MATCH($B652,Products!$A$2:$A$201,0)),"Unknown code"))</f>
        <v/>
      </c>
      <c r="F652" s="22" t="str">
        <f aca="false">IF($B652="","",IFERROR(INDEX(Products!$C$2:$C$201,MATCH($B652,Products!$A$2:$A$201,0)),""))</f>
        <v/>
      </c>
      <c r="G652" s="17" t="str">
        <f aca="false">IF($B652="","",IFERROR(INDEX(Products!$D$2:$D$201,MATCH($B652,Products!$A$2:$A$201,0)),0))</f>
        <v/>
      </c>
      <c r="H652" s="17" t="str">
        <f aca="false">IF($B652="","",C652*G652*(1-D652))</f>
        <v/>
      </c>
      <c r="I652" s="17" t="str">
        <f aca="false">IF($B652="","",C652*IFERROR(INDEX(Products!$E$2:$E$201,MATCH($B652,Products!$A$2:$A$201,0)),0))</f>
        <v/>
      </c>
      <c r="J652" s="17" t="str">
        <f aca="false">IF($B652="","",H652-I652)</f>
        <v/>
      </c>
      <c r="K652" s="16" t="str">
        <f aca="false">IF($A652="","",DATE(YEAR($A652),MONTH($A652),1))</f>
        <v/>
      </c>
    </row>
    <row r="653" customFormat="false" ht="15" hidden="false" customHeight="false" outlineLevel="0" collapsed="false">
      <c r="A653" s="25"/>
      <c r="B653" s="19"/>
      <c r="C653" s="19"/>
      <c r="D653" s="26"/>
      <c r="E653" s="27" t="str">
        <f aca="false">IF($B653="","",IFERROR(INDEX(Products!$B$2:$B$201,MATCH($B653,Products!$A$2:$A$201,0)),"Unknown code"))</f>
        <v/>
      </c>
      <c r="F653" s="22" t="str">
        <f aca="false">IF($B653="","",IFERROR(INDEX(Products!$C$2:$C$201,MATCH($B653,Products!$A$2:$A$201,0)),""))</f>
        <v/>
      </c>
      <c r="G653" s="17" t="str">
        <f aca="false">IF($B653="","",IFERROR(INDEX(Products!$D$2:$D$201,MATCH($B653,Products!$A$2:$A$201,0)),0))</f>
        <v/>
      </c>
      <c r="H653" s="17" t="str">
        <f aca="false">IF($B653="","",C653*G653*(1-D653))</f>
        <v/>
      </c>
      <c r="I653" s="17" t="str">
        <f aca="false">IF($B653="","",C653*IFERROR(INDEX(Products!$E$2:$E$201,MATCH($B653,Products!$A$2:$A$201,0)),0))</f>
        <v/>
      </c>
      <c r="J653" s="17" t="str">
        <f aca="false">IF($B653="","",H653-I653)</f>
        <v/>
      </c>
      <c r="K653" s="16" t="str">
        <f aca="false">IF($A653="","",DATE(YEAR($A653),MONTH($A653),1))</f>
        <v/>
      </c>
    </row>
    <row r="654" customFormat="false" ht="15" hidden="false" customHeight="false" outlineLevel="0" collapsed="false">
      <c r="A654" s="25"/>
      <c r="B654" s="19"/>
      <c r="C654" s="19"/>
      <c r="D654" s="26"/>
      <c r="E654" s="27" t="str">
        <f aca="false">IF($B654="","",IFERROR(INDEX(Products!$B$2:$B$201,MATCH($B654,Products!$A$2:$A$201,0)),"Unknown code"))</f>
        <v/>
      </c>
      <c r="F654" s="22" t="str">
        <f aca="false">IF($B654="","",IFERROR(INDEX(Products!$C$2:$C$201,MATCH($B654,Products!$A$2:$A$201,0)),""))</f>
        <v/>
      </c>
      <c r="G654" s="17" t="str">
        <f aca="false">IF($B654="","",IFERROR(INDEX(Products!$D$2:$D$201,MATCH($B654,Products!$A$2:$A$201,0)),0))</f>
        <v/>
      </c>
      <c r="H654" s="17" t="str">
        <f aca="false">IF($B654="","",C654*G654*(1-D654))</f>
        <v/>
      </c>
      <c r="I654" s="17" t="str">
        <f aca="false">IF($B654="","",C654*IFERROR(INDEX(Products!$E$2:$E$201,MATCH($B654,Products!$A$2:$A$201,0)),0))</f>
        <v/>
      </c>
      <c r="J654" s="17" t="str">
        <f aca="false">IF($B654="","",H654-I654)</f>
        <v/>
      </c>
      <c r="K654" s="16" t="str">
        <f aca="false">IF($A654="","",DATE(YEAR($A654),MONTH($A654),1))</f>
        <v/>
      </c>
    </row>
    <row r="655" customFormat="false" ht="15" hidden="false" customHeight="false" outlineLevel="0" collapsed="false">
      <c r="A655" s="25"/>
      <c r="B655" s="19"/>
      <c r="C655" s="19"/>
      <c r="D655" s="26"/>
      <c r="E655" s="27" t="str">
        <f aca="false">IF($B655="","",IFERROR(INDEX(Products!$B$2:$B$201,MATCH($B655,Products!$A$2:$A$201,0)),"Unknown code"))</f>
        <v/>
      </c>
      <c r="F655" s="22" t="str">
        <f aca="false">IF($B655="","",IFERROR(INDEX(Products!$C$2:$C$201,MATCH($B655,Products!$A$2:$A$201,0)),""))</f>
        <v/>
      </c>
      <c r="G655" s="17" t="str">
        <f aca="false">IF($B655="","",IFERROR(INDEX(Products!$D$2:$D$201,MATCH($B655,Products!$A$2:$A$201,0)),0))</f>
        <v/>
      </c>
      <c r="H655" s="17" t="str">
        <f aca="false">IF($B655="","",C655*G655*(1-D655))</f>
        <v/>
      </c>
      <c r="I655" s="17" t="str">
        <f aca="false">IF($B655="","",C655*IFERROR(INDEX(Products!$E$2:$E$201,MATCH($B655,Products!$A$2:$A$201,0)),0))</f>
        <v/>
      </c>
      <c r="J655" s="17" t="str">
        <f aca="false">IF($B655="","",H655-I655)</f>
        <v/>
      </c>
      <c r="K655" s="16" t="str">
        <f aca="false">IF($A655="","",DATE(YEAR($A655),MONTH($A655),1))</f>
        <v/>
      </c>
    </row>
    <row r="656" customFormat="false" ht="15" hidden="false" customHeight="false" outlineLevel="0" collapsed="false">
      <c r="A656" s="25"/>
      <c r="B656" s="19"/>
      <c r="C656" s="19"/>
      <c r="D656" s="26"/>
      <c r="E656" s="27" t="str">
        <f aca="false">IF($B656="","",IFERROR(INDEX(Products!$B$2:$B$201,MATCH($B656,Products!$A$2:$A$201,0)),"Unknown code"))</f>
        <v/>
      </c>
      <c r="F656" s="22" t="str">
        <f aca="false">IF($B656="","",IFERROR(INDEX(Products!$C$2:$C$201,MATCH($B656,Products!$A$2:$A$201,0)),""))</f>
        <v/>
      </c>
      <c r="G656" s="17" t="str">
        <f aca="false">IF($B656="","",IFERROR(INDEX(Products!$D$2:$D$201,MATCH($B656,Products!$A$2:$A$201,0)),0))</f>
        <v/>
      </c>
      <c r="H656" s="17" t="str">
        <f aca="false">IF($B656="","",C656*G656*(1-D656))</f>
        <v/>
      </c>
      <c r="I656" s="17" t="str">
        <f aca="false">IF($B656="","",C656*IFERROR(INDEX(Products!$E$2:$E$201,MATCH($B656,Products!$A$2:$A$201,0)),0))</f>
        <v/>
      </c>
      <c r="J656" s="17" t="str">
        <f aca="false">IF($B656="","",H656-I656)</f>
        <v/>
      </c>
      <c r="K656" s="16" t="str">
        <f aca="false">IF($A656="","",DATE(YEAR($A656),MONTH($A656),1))</f>
        <v/>
      </c>
    </row>
    <row r="657" customFormat="false" ht="15" hidden="false" customHeight="false" outlineLevel="0" collapsed="false">
      <c r="A657" s="25"/>
      <c r="B657" s="19"/>
      <c r="C657" s="19"/>
      <c r="D657" s="26"/>
      <c r="E657" s="27" t="str">
        <f aca="false">IF($B657="","",IFERROR(INDEX(Products!$B$2:$B$201,MATCH($B657,Products!$A$2:$A$201,0)),"Unknown code"))</f>
        <v/>
      </c>
      <c r="F657" s="22" t="str">
        <f aca="false">IF($B657="","",IFERROR(INDEX(Products!$C$2:$C$201,MATCH($B657,Products!$A$2:$A$201,0)),""))</f>
        <v/>
      </c>
      <c r="G657" s="17" t="str">
        <f aca="false">IF($B657="","",IFERROR(INDEX(Products!$D$2:$D$201,MATCH($B657,Products!$A$2:$A$201,0)),0))</f>
        <v/>
      </c>
      <c r="H657" s="17" t="str">
        <f aca="false">IF($B657="","",C657*G657*(1-D657))</f>
        <v/>
      </c>
      <c r="I657" s="17" t="str">
        <f aca="false">IF($B657="","",C657*IFERROR(INDEX(Products!$E$2:$E$201,MATCH($B657,Products!$A$2:$A$201,0)),0))</f>
        <v/>
      </c>
      <c r="J657" s="17" t="str">
        <f aca="false">IF($B657="","",H657-I657)</f>
        <v/>
      </c>
      <c r="K657" s="16" t="str">
        <f aca="false">IF($A657="","",DATE(YEAR($A657),MONTH($A657),1))</f>
        <v/>
      </c>
    </row>
    <row r="658" customFormat="false" ht="15" hidden="false" customHeight="false" outlineLevel="0" collapsed="false">
      <c r="A658" s="25"/>
      <c r="B658" s="19"/>
      <c r="C658" s="19"/>
      <c r="D658" s="26"/>
      <c r="E658" s="27" t="str">
        <f aca="false">IF($B658="","",IFERROR(INDEX(Products!$B$2:$B$201,MATCH($B658,Products!$A$2:$A$201,0)),"Unknown code"))</f>
        <v/>
      </c>
      <c r="F658" s="22" t="str">
        <f aca="false">IF($B658="","",IFERROR(INDEX(Products!$C$2:$C$201,MATCH($B658,Products!$A$2:$A$201,0)),""))</f>
        <v/>
      </c>
      <c r="G658" s="17" t="str">
        <f aca="false">IF($B658="","",IFERROR(INDEX(Products!$D$2:$D$201,MATCH($B658,Products!$A$2:$A$201,0)),0))</f>
        <v/>
      </c>
      <c r="H658" s="17" t="str">
        <f aca="false">IF($B658="","",C658*G658*(1-D658))</f>
        <v/>
      </c>
      <c r="I658" s="17" t="str">
        <f aca="false">IF($B658="","",C658*IFERROR(INDEX(Products!$E$2:$E$201,MATCH($B658,Products!$A$2:$A$201,0)),0))</f>
        <v/>
      </c>
      <c r="J658" s="17" t="str">
        <f aca="false">IF($B658="","",H658-I658)</f>
        <v/>
      </c>
      <c r="K658" s="16" t="str">
        <f aca="false">IF($A658="","",DATE(YEAR($A658),MONTH($A658),1))</f>
        <v/>
      </c>
    </row>
    <row r="659" customFormat="false" ht="15" hidden="false" customHeight="false" outlineLevel="0" collapsed="false">
      <c r="A659" s="25"/>
      <c r="B659" s="19"/>
      <c r="C659" s="19"/>
      <c r="D659" s="26"/>
      <c r="E659" s="27" t="str">
        <f aca="false">IF($B659="","",IFERROR(INDEX(Products!$B$2:$B$201,MATCH($B659,Products!$A$2:$A$201,0)),"Unknown code"))</f>
        <v/>
      </c>
      <c r="F659" s="22" t="str">
        <f aca="false">IF($B659="","",IFERROR(INDEX(Products!$C$2:$C$201,MATCH($B659,Products!$A$2:$A$201,0)),""))</f>
        <v/>
      </c>
      <c r="G659" s="17" t="str">
        <f aca="false">IF($B659="","",IFERROR(INDEX(Products!$D$2:$D$201,MATCH($B659,Products!$A$2:$A$201,0)),0))</f>
        <v/>
      </c>
      <c r="H659" s="17" t="str">
        <f aca="false">IF($B659="","",C659*G659*(1-D659))</f>
        <v/>
      </c>
      <c r="I659" s="17" t="str">
        <f aca="false">IF($B659="","",C659*IFERROR(INDEX(Products!$E$2:$E$201,MATCH($B659,Products!$A$2:$A$201,0)),0))</f>
        <v/>
      </c>
      <c r="J659" s="17" t="str">
        <f aca="false">IF($B659="","",H659-I659)</f>
        <v/>
      </c>
      <c r="K659" s="16" t="str">
        <f aca="false">IF($A659="","",DATE(YEAR($A659),MONTH($A659),1))</f>
        <v/>
      </c>
    </row>
    <row r="660" customFormat="false" ht="15" hidden="false" customHeight="false" outlineLevel="0" collapsed="false">
      <c r="A660" s="25"/>
      <c r="B660" s="19"/>
      <c r="C660" s="19"/>
      <c r="D660" s="26"/>
      <c r="E660" s="27" t="str">
        <f aca="false">IF($B660="","",IFERROR(INDEX(Products!$B$2:$B$201,MATCH($B660,Products!$A$2:$A$201,0)),"Unknown code"))</f>
        <v/>
      </c>
      <c r="F660" s="22" t="str">
        <f aca="false">IF($B660="","",IFERROR(INDEX(Products!$C$2:$C$201,MATCH($B660,Products!$A$2:$A$201,0)),""))</f>
        <v/>
      </c>
      <c r="G660" s="17" t="str">
        <f aca="false">IF($B660="","",IFERROR(INDEX(Products!$D$2:$D$201,MATCH($B660,Products!$A$2:$A$201,0)),0))</f>
        <v/>
      </c>
      <c r="H660" s="17" t="str">
        <f aca="false">IF($B660="","",C660*G660*(1-D660))</f>
        <v/>
      </c>
      <c r="I660" s="17" t="str">
        <f aca="false">IF($B660="","",C660*IFERROR(INDEX(Products!$E$2:$E$201,MATCH($B660,Products!$A$2:$A$201,0)),0))</f>
        <v/>
      </c>
      <c r="J660" s="17" t="str">
        <f aca="false">IF($B660="","",H660-I660)</f>
        <v/>
      </c>
      <c r="K660" s="16" t="str">
        <f aca="false">IF($A660="","",DATE(YEAR($A660),MONTH($A660),1))</f>
        <v/>
      </c>
    </row>
    <row r="661" customFormat="false" ht="15" hidden="false" customHeight="false" outlineLevel="0" collapsed="false">
      <c r="A661" s="25"/>
      <c r="B661" s="19"/>
      <c r="C661" s="19"/>
      <c r="D661" s="26"/>
      <c r="E661" s="27" t="str">
        <f aca="false">IF($B661="","",IFERROR(INDEX(Products!$B$2:$B$201,MATCH($B661,Products!$A$2:$A$201,0)),"Unknown code"))</f>
        <v/>
      </c>
      <c r="F661" s="22" t="str">
        <f aca="false">IF($B661="","",IFERROR(INDEX(Products!$C$2:$C$201,MATCH($B661,Products!$A$2:$A$201,0)),""))</f>
        <v/>
      </c>
      <c r="G661" s="17" t="str">
        <f aca="false">IF($B661="","",IFERROR(INDEX(Products!$D$2:$D$201,MATCH($B661,Products!$A$2:$A$201,0)),0))</f>
        <v/>
      </c>
      <c r="H661" s="17" t="str">
        <f aca="false">IF($B661="","",C661*G661*(1-D661))</f>
        <v/>
      </c>
      <c r="I661" s="17" t="str">
        <f aca="false">IF($B661="","",C661*IFERROR(INDEX(Products!$E$2:$E$201,MATCH($B661,Products!$A$2:$A$201,0)),0))</f>
        <v/>
      </c>
      <c r="J661" s="17" t="str">
        <f aca="false">IF($B661="","",H661-I661)</f>
        <v/>
      </c>
      <c r="K661" s="16" t="str">
        <f aca="false">IF($A661="","",DATE(YEAR($A661),MONTH($A661),1))</f>
        <v/>
      </c>
    </row>
    <row r="662" customFormat="false" ht="15" hidden="false" customHeight="false" outlineLevel="0" collapsed="false">
      <c r="A662" s="25"/>
      <c r="B662" s="19"/>
      <c r="C662" s="19"/>
      <c r="D662" s="26"/>
      <c r="E662" s="27" t="str">
        <f aca="false">IF($B662="","",IFERROR(INDEX(Products!$B$2:$B$201,MATCH($B662,Products!$A$2:$A$201,0)),"Unknown code"))</f>
        <v/>
      </c>
      <c r="F662" s="22" t="str">
        <f aca="false">IF($B662="","",IFERROR(INDEX(Products!$C$2:$C$201,MATCH($B662,Products!$A$2:$A$201,0)),""))</f>
        <v/>
      </c>
      <c r="G662" s="17" t="str">
        <f aca="false">IF($B662="","",IFERROR(INDEX(Products!$D$2:$D$201,MATCH($B662,Products!$A$2:$A$201,0)),0))</f>
        <v/>
      </c>
      <c r="H662" s="17" t="str">
        <f aca="false">IF($B662="","",C662*G662*(1-D662))</f>
        <v/>
      </c>
      <c r="I662" s="17" t="str">
        <f aca="false">IF($B662="","",C662*IFERROR(INDEX(Products!$E$2:$E$201,MATCH($B662,Products!$A$2:$A$201,0)),0))</f>
        <v/>
      </c>
      <c r="J662" s="17" t="str">
        <f aca="false">IF($B662="","",H662-I662)</f>
        <v/>
      </c>
      <c r="K662" s="16" t="str">
        <f aca="false">IF($A662="","",DATE(YEAR($A662),MONTH($A662),1))</f>
        <v/>
      </c>
    </row>
    <row r="663" customFormat="false" ht="15" hidden="false" customHeight="false" outlineLevel="0" collapsed="false">
      <c r="A663" s="25"/>
      <c r="B663" s="19"/>
      <c r="C663" s="19"/>
      <c r="D663" s="26"/>
      <c r="E663" s="27" t="str">
        <f aca="false">IF($B663="","",IFERROR(INDEX(Products!$B$2:$B$201,MATCH($B663,Products!$A$2:$A$201,0)),"Unknown code"))</f>
        <v/>
      </c>
      <c r="F663" s="22" t="str">
        <f aca="false">IF($B663="","",IFERROR(INDEX(Products!$C$2:$C$201,MATCH($B663,Products!$A$2:$A$201,0)),""))</f>
        <v/>
      </c>
      <c r="G663" s="17" t="str">
        <f aca="false">IF($B663="","",IFERROR(INDEX(Products!$D$2:$D$201,MATCH($B663,Products!$A$2:$A$201,0)),0))</f>
        <v/>
      </c>
      <c r="H663" s="17" t="str">
        <f aca="false">IF($B663="","",C663*G663*(1-D663))</f>
        <v/>
      </c>
      <c r="I663" s="17" t="str">
        <f aca="false">IF($B663="","",C663*IFERROR(INDEX(Products!$E$2:$E$201,MATCH($B663,Products!$A$2:$A$201,0)),0))</f>
        <v/>
      </c>
      <c r="J663" s="17" t="str">
        <f aca="false">IF($B663="","",H663-I663)</f>
        <v/>
      </c>
      <c r="K663" s="16" t="str">
        <f aca="false">IF($A663="","",DATE(YEAR($A663),MONTH($A663),1))</f>
        <v/>
      </c>
    </row>
    <row r="664" customFormat="false" ht="15" hidden="false" customHeight="false" outlineLevel="0" collapsed="false">
      <c r="A664" s="25"/>
      <c r="B664" s="19"/>
      <c r="C664" s="19"/>
      <c r="D664" s="26"/>
      <c r="E664" s="27" t="str">
        <f aca="false">IF($B664="","",IFERROR(INDEX(Products!$B$2:$B$201,MATCH($B664,Products!$A$2:$A$201,0)),"Unknown code"))</f>
        <v/>
      </c>
      <c r="F664" s="22" t="str">
        <f aca="false">IF($B664="","",IFERROR(INDEX(Products!$C$2:$C$201,MATCH($B664,Products!$A$2:$A$201,0)),""))</f>
        <v/>
      </c>
      <c r="G664" s="17" t="str">
        <f aca="false">IF($B664="","",IFERROR(INDEX(Products!$D$2:$D$201,MATCH($B664,Products!$A$2:$A$201,0)),0))</f>
        <v/>
      </c>
      <c r="H664" s="17" t="str">
        <f aca="false">IF($B664="","",C664*G664*(1-D664))</f>
        <v/>
      </c>
      <c r="I664" s="17" t="str">
        <f aca="false">IF($B664="","",C664*IFERROR(INDEX(Products!$E$2:$E$201,MATCH($B664,Products!$A$2:$A$201,0)),0))</f>
        <v/>
      </c>
      <c r="J664" s="17" t="str">
        <f aca="false">IF($B664="","",H664-I664)</f>
        <v/>
      </c>
      <c r="K664" s="16" t="str">
        <f aca="false">IF($A664="","",DATE(YEAR($A664),MONTH($A664),1))</f>
        <v/>
      </c>
    </row>
    <row r="665" customFormat="false" ht="15" hidden="false" customHeight="false" outlineLevel="0" collapsed="false">
      <c r="A665" s="25"/>
      <c r="B665" s="19"/>
      <c r="C665" s="19"/>
      <c r="D665" s="26"/>
      <c r="E665" s="27" t="str">
        <f aca="false">IF($B665="","",IFERROR(INDEX(Products!$B$2:$B$201,MATCH($B665,Products!$A$2:$A$201,0)),"Unknown code"))</f>
        <v/>
      </c>
      <c r="F665" s="22" t="str">
        <f aca="false">IF($B665="","",IFERROR(INDEX(Products!$C$2:$C$201,MATCH($B665,Products!$A$2:$A$201,0)),""))</f>
        <v/>
      </c>
      <c r="G665" s="17" t="str">
        <f aca="false">IF($B665="","",IFERROR(INDEX(Products!$D$2:$D$201,MATCH($B665,Products!$A$2:$A$201,0)),0))</f>
        <v/>
      </c>
      <c r="H665" s="17" t="str">
        <f aca="false">IF($B665="","",C665*G665*(1-D665))</f>
        <v/>
      </c>
      <c r="I665" s="17" t="str">
        <f aca="false">IF($B665="","",C665*IFERROR(INDEX(Products!$E$2:$E$201,MATCH($B665,Products!$A$2:$A$201,0)),0))</f>
        <v/>
      </c>
      <c r="J665" s="17" t="str">
        <f aca="false">IF($B665="","",H665-I665)</f>
        <v/>
      </c>
      <c r="K665" s="16" t="str">
        <f aca="false">IF($A665="","",DATE(YEAR($A665),MONTH($A665),1))</f>
        <v/>
      </c>
    </row>
    <row r="666" customFormat="false" ht="15" hidden="false" customHeight="false" outlineLevel="0" collapsed="false">
      <c r="A666" s="25"/>
      <c r="B666" s="19"/>
      <c r="C666" s="19"/>
      <c r="D666" s="26"/>
      <c r="E666" s="27" t="str">
        <f aca="false">IF($B666="","",IFERROR(INDEX(Products!$B$2:$B$201,MATCH($B666,Products!$A$2:$A$201,0)),"Unknown code"))</f>
        <v/>
      </c>
      <c r="F666" s="22" t="str">
        <f aca="false">IF($B666="","",IFERROR(INDEX(Products!$C$2:$C$201,MATCH($B666,Products!$A$2:$A$201,0)),""))</f>
        <v/>
      </c>
      <c r="G666" s="17" t="str">
        <f aca="false">IF($B666="","",IFERROR(INDEX(Products!$D$2:$D$201,MATCH($B666,Products!$A$2:$A$201,0)),0))</f>
        <v/>
      </c>
      <c r="H666" s="17" t="str">
        <f aca="false">IF($B666="","",C666*G666*(1-D666))</f>
        <v/>
      </c>
      <c r="I666" s="17" t="str">
        <f aca="false">IF($B666="","",C666*IFERROR(INDEX(Products!$E$2:$E$201,MATCH($B666,Products!$A$2:$A$201,0)),0))</f>
        <v/>
      </c>
      <c r="J666" s="17" t="str">
        <f aca="false">IF($B666="","",H666-I666)</f>
        <v/>
      </c>
      <c r="K666" s="16" t="str">
        <f aca="false">IF($A666="","",DATE(YEAR($A666),MONTH($A666),1))</f>
        <v/>
      </c>
    </row>
    <row r="667" customFormat="false" ht="15" hidden="false" customHeight="false" outlineLevel="0" collapsed="false">
      <c r="A667" s="25"/>
      <c r="B667" s="19"/>
      <c r="C667" s="19"/>
      <c r="D667" s="26"/>
      <c r="E667" s="27" t="str">
        <f aca="false">IF($B667="","",IFERROR(INDEX(Products!$B$2:$B$201,MATCH($B667,Products!$A$2:$A$201,0)),"Unknown code"))</f>
        <v/>
      </c>
      <c r="F667" s="22" t="str">
        <f aca="false">IF($B667="","",IFERROR(INDEX(Products!$C$2:$C$201,MATCH($B667,Products!$A$2:$A$201,0)),""))</f>
        <v/>
      </c>
      <c r="G667" s="17" t="str">
        <f aca="false">IF($B667="","",IFERROR(INDEX(Products!$D$2:$D$201,MATCH($B667,Products!$A$2:$A$201,0)),0))</f>
        <v/>
      </c>
      <c r="H667" s="17" t="str">
        <f aca="false">IF($B667="","",C667*G667*(1-D667))</f>
        <v/>
      </c>
      <c r="I667" s="17" t="str">
        <f aca="false">IF($B667="","",C667*IFERROR(INDEX(Products!$E$2:$E$201,MATCH($B667,Products!$A$2:$A$201,0)),0))</f>
        <v/>
      </c>
      <c r="J667" s="17" t="str">
        <f aca="false">IF($B667="","",H667-I667)</f>
        <v/>
      </c>
      <c r="K667" s="16" t="str">
        <f aca="false">IF($A667="","",DATE(YEAR($A667),MONTH($A667),1))</f>
        <v/>
      </c>
    </row>
    <row r="668" customFormat="false" ht="15" hidden="false" customHeight="false" outlineLevel="0" collapsed="false">
      <c r="A668" s="25"/>
      <c r="B668" s="19"/>
      <c r="C668" s="19"/>
      <c r="D668" s="26"/>
      <c r="E668" s="27" t="str">
        <f aca="false">IF($B668="","",IFERROR(INDEX(Products!$B$2:$B$201,MATCH($B668,Products!$A$2:$A$201,0)),"Unknown code"))</f>
        <v/>
      </c>
      <c r="F668" s="22" t="str">
        <f aca="false">IF($B668="","",IFERROR(INDEX(Products!$C$2:$C$201,MATCH($B668,Products!$A$2:$A$201,0)),""))</f>
        <v/>
      </c>
      <c r="G668" s="17" t="str">
        <f aca="false">IF($B668="","",IFERROR(INDEX(Products!$D$2:$D$201,MATCH($B668,Products!$A$2:$A$201,0)),0))</f>
        <v/>
      </c>
      <c r="H668" s="17" t="str">
        <f aca="false">IF($B668="","",C668*G668*(1-D668))</f>
        <v/>
      </c>
      <c r="I668" s="17" t="str">
        <f aca="false">IF($B668="","",C668*IFERROR(INDEX(Products!$E$2:$E$201,MATCH($B668,Products!$A$2:$A$201,0)),0))</f>
        <v/>
      </c>
      <c r="J668" s="17" t="str">
        <f aca="false">IF($B668="","",H668-I668)</f>
        <v/>
      </c>
      <c r="K668" s="16" t="str">
        <f aca="false">IF($A668="","",DATE(YEAR($A668),MONTH($A668),1))</f>
        <v/>
      </c>
    </row>
    <row r="669" customFormat="false" ht="15" hidden="false" customHeight="false" outlineLevel="0" collapsed="false">
      <c r="A669" s="25"/>
      <c r="B669" s="19"/>
      <c r="C669" s="19"/>
      <c r="D669" s="26"/>
      <c r="E669" s="27" t="str">
        <f aca="false">IF($B669="","",IFERROR(INDEX(Products!$B$2:$B$201,MATCH($B669,Products!$A$2:$A$201,0)),"Unknown code"))</f>
        <v/>
      </c>
      <c r="F669" s="22" t="str">
        <f aca="false">IF($B669="","",IFERROR(INDEX(Products!$C$2:$C$201,MATCH($B669,Products!$A$2:$A$201,0)),""))</f>
        <v/>
      </c>
      <c r="G669" s="17" t="str">
        <f aca="false">IF($B669="","",IFERROR(INDEX(Products!$D$2:$D$201,MATCH($B669,Products!$A$2:$A$201,0)),0))</f>
        <v/>
      </c>
      <c r="H669" s="17" t="str">
        <f aca="false">IF($B669="","",C669*G669*(1-D669))</f>
        <v/>
      </c>
      <c r="I669" s="17" t="str">
        <f aca="false">IF($B669="","",C669*IFERROR(INDEX(Products!$E$2:$E$201,MATCH($B669,Products!$A$2:$A$201,0)),0))</f>
        <v/>
      </c>
      <c r="J669" s="17" t="str">
        <f aca="false">IF($B669="","",H669-I669)</f>
        <v/>
      </c>
      <c r="K669" s="16" t="str">
        <f aca="false">IF($A669="","",DATE(YEAR($A669),MONTH($A669),1))</f>
        <v/>
      </c>
    </row>
    <row r="670" customFormat="false" ht="15" hidden="false" customHeight="false" outlineLevel="0" collapsed="false">
      <c r="A670" s="25"/>
      <c r="B670" s="19"/>
      <c r="C670" s="19"/>
      <c r="D670" s="26"/>
      <c r="E670" s="27" t="str">
        <f aca="false">IF($B670="","",IFERROR(INDEX(Products!$B$2:$B$201,MATCH($B670,Products!$A$2:$A$201,0)),"Unknown code"))</f>
        <v/>
      </c>
      <c r="F670" s="22" t="str">
        <f aca="false">IF($B670="","",IFERROR(INDEX(Products!$C$2:$C$201,MATCH($B670,Products!$A$2:$A$201,0)),""))</f>
        <v/>
      </c>
      <c r="G670" s="17" t="str">
        <f aca="false">IF($B670="","",IFERROR(INDEX(Products!$D$2:$D$201,MATCH($B670,Products!$A$2:$A$201,0)),0))</f>
        <v/>
      </c>
      <c r="H670" s="17" t="str">
        <f aca="false">IF($B670="","",C670*G670*(1-D670))</f>
        <v/>
      </c>
      <c r="I670" s="17" t="str">
        <f aca="false">IF($B670="","",C670*IFERROR(INDEX(Products!$E$2:$E$201,MATCH($B670,Products!$A$2:$A$201,0)),0))</f>
        <v/>
      </c>
      <c r="J670" s="17" t="str">
        <f aca="false">IF($B670="","",H670-I670)</f>
        <v/>
      </c>
      <c r="K670" s="16" t="str">
        <f aca="false">IF($A670="","",DATE(YEAR($A670),MONTH($A670),1))</f>
        <v/>
      </c>
    </row>
    <row r="671" customFormat="false" ht="15" hidden="false" customHeight="false" outlineLevel="0" collapsed="false">
      <c r="A671" s="25"/>
      <c r="B671" s="19"/>
      <c r="C671" s="19"/>
      <c r="D671" s="26"/>
      <c r="E671" s="27" t="str">
        <f aca="false">IF($B671="","",IFERROR(INDEX(Products!$B$2:$B$201,MATCH($B671,Products!$A$2:$A$201,0)),"Unknown code"))</f>
        <v/>
      </c>
      <c r="F671" s="22" t="str">
        <f aca="false">IF($B671="","",IFERROR(INDEX(Products!$C$2:$C$201,MATCH($B671,Products!$A$2:$A$201,0)),""))</f>
        <v/>
      </c>
      <c r="G671" s="17" t="str">
        <f aca="false">IF($B671="","",IFERROR(INDEX(Products!$D$2:$D$201,MATCH($B671,Products!$A$2:$A$201,0)),0))</f>
        <v/>
      </c>
      <c r="H671" s="17" t="str">
        <f aca="false">IF($B671="","",C671*G671*(1-D671))</f>
        <v/>
      </c>
      <c r="I671" s="17" t="str">
        <f aca="false">IF($B671="","",C671*IFERROR(INDEX(Products!$E$2:$E$201,MATCH($B671,Products!$A$2:$A$201,0)),0))</f>
        <v/>
      </c>
      <c r="J671" s="17" t="str">
        <f aca="false">IF($B671="","",H671-I671)</f>
        <v/>
      </c>
      <c r="K671" s="16" t="str">
        <f aca="false">IF($A671="","",DATE(YEAR($A671),MONTH($A671),1))</f>
        <v/>
      </c>
    </row>
    <row r="672" customFormat="false" ht="15" hidden="false" customHeight="false" outlineLevel="0" collapsed="false">
      <c r="A672" s="25"/>
      <c r="B672" s="19"/>
      <c r="C672" s="19"/>
      <c r="D672" s="26"/>
      <c r="E672" s="27" t="str">
        <f aca="false">IF($B672="","",IFERROR(INDEX(Products!$B$2:$B$201,MATCH($B672,Products!$A$2:$A$201,0)),"Unknown code"))</f>
        <v/>
      </c>
      <c r="F672" s="22" t="str">
        <f aca="false">IF($B672="","",IFERROR(INDEX(Products!$C$2:$C$201,MATCH($B672,Products!$A$2:$A$201,0)),""))</f>
        <v/>
      </c>
      <c r="G672" s="17" t="str">
        <f aca="false">IF($B672="","",IFERROR(INDEX(Products!$D$2:$D$201,MATCH($B672,Products!$A$2:$A$201,0)),0))</f>
        <v/>
      </c>
      <c r="H672" s="17" t="str">
        <f aca="false">IF($B672="","",C672*G672*(1-D672))</f>
        <v/>
      </c>
      <c r="I672" s="17" t="str">
        <f aca="false">IF($B672="","",C672*IFERROR(INDEX(Products!$E$2:$E$201,MATCH($B672,Products!$A$2:$A$201,0)),0))</f>
        <v/>
      </c>
      <c r="J672" s="17" t="str">
        <f aca="false">IF($B672="","",H672-I672)</f>
        <v/>
      </c>
      <c r="K672" s="16" t="str">
        <f aca="false">IF($A672="","",DATE(YEAR($A672),MONTH($A672),1))</f>
        <v/>
      </c>
    </row>
    <row r="673" customFormat="false" ht="15" hidden="false" customHeight="false" outlineLevel="0" collapsed="false">
      <c r="A673" s="25"/>
      <c r="B673" s="19"/>
      <c r="C673" s="19"/>
      <c r="D673" s="26"/>
      <c r="E673" s="27" t="str">
        <f aca="false">IF($B673="","",IFERROR(INDEX(Products!$B$2:$B$201,MATCH($B673,Products!$A$2:$A$201,0)),"Unknown code"))</f>
        <v/>
      </c>
      <c r="F673" s="22" t="str">
        <f aca="false">IF($B673="","",IFERROR(INDEX(Products!$C$2:$C$201,MATCH($B673,Products!$A$2:$A$201,0)),""))</f>
        <v/>
      </c>
      <c r="G673" s="17" t="str">
        <f aca="false">IF($B673="","",IFERROR(INDEX(Products!$D$2:$D$201,MATCH($B673,Products!$A$2:$A$201,0)),0))</f>
        <v/>
      </c>
      <c r="H673" s="17" t="str">
        <f aca="false">IF($B673="","",C673*G673*(1-D673))</f>
        <v/>
      </c>
      <c r="I673" s="17" t="str">
        <f aca="false">IF($B673="","",C673*IFERROR(INDEX(Products!$E$2:$E$201,MATCH($B673,Products!$A$2:$A$201,0)),0))</f>
        <v/>
      </c>
      <c r="J673" s="17" t="str">
        <f aca="false">IF($B673="","",H673-I673)</f>
        <v/>
      </c>
      <c r="K673" s="16" t="str">
        <f aca="false">IF($A673="","",DATE(YEAR($A673),MONTH($A673),1))</f>
        <v/>
      </c>
    </row>
    <row r="674" customFormat="false" ht="15" hidden="false" customHeight="false" outlineLevel="0" collapsed="false">
      <c r="A674" s="25"/>
      <c r="B674" s="19"/>
      <c r="C674" s="19"/>
      <c r="D674" s="26"/>
      <c r="E674" s="27" t="str">
        <f aca="false">IF($B674="","",IFERROR(INDEX(Products!$B$2:$B$201,MATCH($B674,Products!$A$2:$A$201,0)),"Unknown code"))</f>
        <v/>
      </c>
      <c r="F674" s="22" t="str">
        <f aca="false">IF($B674="","",IFERROR(INDEX(Products!$C$2:$C$201,MATCH($B674,Products!$A$2:$A$201,0)),""))</f>
        <v/>
      </c>
      <c r="G674" s="17" t="str">
        <f aca="false">IF($B674="","",IFERROR(INDEX(Products!$D$2:$D$201,MATCH($B674,Products!$A$2:$A$201,0)),0))</f>
        <v/>
      </c>
      <c r="H674" s="17" t="str">
        <f aca="false">IF($B674="","",C674*G674*(1-D674))</f>
        <v/>
      </c>
      <c r="I674" s="17" t="str">
        <f aca="false">IF($B674="","",C674*IFERROR(INDEX(Products!$E$2:$E$201,MATCH($B674,Products!$A$2:$A$201,0)),0))</f>
        <v/>
      </c>
      <c r="J674" s="17" t="str">
        <f aca="false">IF($B674="","",H674-I674)</f>
        <v/>
      </c>
      <c r="K674" s="16" t="str">
        <f aca="false">IF($A674="","",DATE(YEAR($A674),MONTH($A674),1))</f>
        <v/>
      </c>
    </row>
    <row r="675" customFormat="false" ht="15" hidden="false" customHeight="false" outlineLevel="0" collapsed="false">
      <c r="A675" s="25"/>
      <c r="B675" s="19"/>
      <c r="C675" s="19"/>
      <c r="D675" s="26"/>
      <c r="E675" s="27" t="str">
        <f aca="false">IF($B675="","",IFERROR(INDEX(Products!$B$2:$B$201,MATCH($B675,Products!$A$2:$A$201,0)),"Unknown code"))</f>
        <v/>
      </c>
      <c r="F675" s="22" t="str">
        <f aca="false">IF($B675="","",IFERROR(INDEX(Products!$C$2:$C$201,MATCH($B675,Products!$A$2:$A$201,0)),""))</f>
        <v/>
      </c>
      <c r="G675" s="17" t="str">
        <f aca="false">IF($B675="","",IFERROR(INDEX(Products!$D$2:$D$201,MATCH($B675,Products!$A$2:$A$201,0)),0))</f>
        <v/>
      </c>
      <c r="H675" s="17" t="str">
        <f aca="false">IF($B675="","",C675*G675*(1-D675))</f>
        <v/>
      </c>
      <c r="I675" s="17" t="str">
        <f aca="false">IF($B675="","",C675*IFERROR(INDEX(Products!$E$2:$E$201,MATCH($B675,Products!$A$2:$A$201,0)),0))</f>
        <v/>
      </c>
      <c r="J675" s="17" t="str">
        <f aca="false">IF($B675="","",H675-I675)</f>
        <v/>
      </c>
      <c r="K675" s="16" t="str">
        <f aca="false">IF($A675="","",DATE(YEAR($A675),MONTH($A675),1))</f>
        <v/>
      </c>
    </row>
    <row r="676" customFormat="false" ht="15" hidden="false" customHeight="false" outlineLevel="0" collapsed="false">
      <c r="A676" s="25"/>
      <c r="B676" s="19"/>
      <c r="C676" s="19"/>
      <c r="D676" s="26"/>
      <c r="E676" s="27" t="str">
        <f aca="false">IF($B676="","",IFERROR(INDEX(Products!$B$2:$B$201,MATCH($B676,Products!$A$2:$A$201,0)),"Unknown code"))</f>
        <v/>
      </c>
      <c r="F676" s="22" t="str">
        <f aca="false">IF($B676="","",IFERROR(INDEX(Products!$C$2:$C$201,MATCH($B676,Products!$A$2:$A$201,0)),""))</f>
        <v/>
      </c>
      <c r="G676" s="17" t="str">
        <f aca="false">IF($B676="","",IFERROR(INDEX(Products!$D$2:$D$201,MATCH($B676,Products!$A$2:$A$201,0)),0))</f>
        <v/>
      </c>
      <c r="H676" s="17" t="str">
        <f aca="false">IF($B676="","",C676*G676*(1-D676))</f>
        <v/>
      </c>
      <c r="I676" s="17" t="str">
        <f aca="false">IF($B676="","",C676*IFERROR(INDEX(Products!$E$2:$E$201,MATCH($B676,Products!$A$2:$A$201,0)),0))</f>
        <v/>
      </c>
      <c r="J676" s="17" t="str">
        <f aca="false">IF($B676="","",H676-I676)</f>
        <v/>
      </c>
      <c r="K676" s="16" t="str">
        <f aca="false">IF($A676="","",DATE(YEAR($A676),MONTH($A676),1))</f>
        <v/>
      </c>
    </row>
    <row r="677" customFormat="false" ht="15" hidden="false" customHeight="false" outlineLevel="0" collapsed="false">
      <c r="A677" s="25"/>
      <c r="B677" s="19"/>
      <c r="C677" s="19"/>
      <c r="D677" s="26"/>
      <c r="E677" s="27" t="str">
        <f aca="false">IF($B677="","",IFERROR(INDEX(Products!$B$2:$B$201,MATCH($B677,Products!$A$2:$A$201,0)),"Unknown code"))</f>
        <v/>
      </c>
      <c r="F677" s="22" t="str">
        <f aca="false">IF($B677="","",IFERROR(INDEX(Products!$C$2:$C$201,MATCH($B677,Products!$A$2:$A$201,0)),""))</f>
        <v/>
      </c>
      <c r="G677" s="17" t="str">
        <f aca="false">IF($B677="","",IFERROR(INDEX(Products!$D$2:$D$201,MATCH($B677,Products!$A$2:$A$201,0)),0))</f>
        <v/>
      </c>
      <c r="H677" s="17" t="str">
        <f aca="false">IF($B677="","",C677*G677*(1-D677))</f>
        <v/>
      </c>
      <c r="I677" s="17" t="str">
        <f aca="false">IF($B677="","",C677*IFERROR(INDEX(Products!$E$2:$E$201,MATCH($B677,Products!$A$2:$A$201,0)),0))</f>
        <v/>
      </c>
      <c r="J677" s="17" t="str">
        <f aca="false">IF($B677="","",H677-I677)</f>
        <v/>
      </c>
      <c r="K677" s="16" t="str">
        <f aca="false">IF($A677="","",DATE(YEAR($A677),MONTH($A677),1))</f>
        <v/>
      </c>
    </row>
    <row r="678" customFormat="false" ht="15" hidden="false" customHeight="false" outlineLevel="0" collapsed="false">
      <c r="A678" s="25"/>
      <c r="B678" s="19"/>
      <c r="C678" s="19"/>
      <c r="D678" s="26"/>
      <c r="E678" s="27" t="str">
        <f aca="false">IF($B678="","",IFERROR(INDEX(Products!$B$2:$B$201,MATCH($B678,Products!$A$2:$A$201,0)),"Unknown code"))</f>
        <v/>
      </c>
      <c r="F678" s="22" t="str">
        <f aca="false">IF($B678="","",IFERROR(INDEX(Products!$C$2:$C$201,MATCH($B678,Products!$A$2:$A$201,0)),""))</f>
        <v/>
      </c>
      <c r="G678" s="17" t="str">
        <f aca="false">IF($B678="","",IFERROR(INDEX(Products!$D$2:$D$201,MATCH($B678,Products!$A$2:$A$201,0)),0))</f>
        <v/>
      </c>
      <c r="H678" s="17" t="str">
        <f aca="false">IF($B678="","",C678*G678*(1-D678))</f>
        <v/>
      </c>
      <c r="I678" s="17" t="str">
        <f aca="false">IF($B678="","",C678*IFERROR(INDEX(Products!$E$2:$E$201,MATCH($B678,Products!$A$2:$A$201,0)),0))</f>
        <v/>
      </c>
      <c r="J678" s="17" t="str">
        <f aca="false">IF($B678="","",H678-I678)</f>
        <v/>
      </c>
      <c r="K678" s="16" t="str">
        <f aca="false">IF($A678="","",DATE(YEAR($A678),MONTH($A678),1))</f>
        <v/>
      </c>
    </row>
    <row r="679" customFormat="false" ht="15" hidden="false" customHeight="false" outlineLevel="0" collapsed="false">
      <c r="A679" s="25"/>
      <c r="B679" s="19"/>
      <c r="C679" s="19"/>
      <c r="D679" s="26"/>
      <c r="E679" s="27" t="str">
        <f aca="false">IF($B679="","",IFERROR(INDEX(Products!$B$2:$B$201,MATCH($B679,Products!$A$2:$A$201,0)),"Unknown code"))</f>
        <v/>
      </c>
      <c r="F679" s="22" t="str">
        <f aca="false">IF($B679="","",IFERROR(INDEX(Products!$C$2:$C$201,MATCH($B679,Products!$A$2:$A$201,0)),""))</f>
        <v/>
      </c>
      <c r="G679" s="17" t="str">
        <f aca="false">IF($B679="","",IFERROR(INDEX(Products!$D$2:$D$201,MATCH($B679,Products!$A$2:$A$201,0)),0))</f>
        <v/>
      </c>
      <c r="H679" s="17" t="str">
        <f aca="false">IF($B679="","",C679*G679*(1-D679))</f>
        <v/>
      </c>
      <c r="I679" s="17" t="str">
        <f aca="false">IF($B679="","",C679*IFERROR(INDEX(Products!$E$2:$E$201,MATCH($B679,Products!$A$2:$A$201,0)),0))</f>
        <v/>
      </c>
      <c r="J679" s="17" t="str">
        <f aca="false">IF($B679="","",H679-I679)</f>
        <v/>
      </c>
      <c r="K679" s="16" t="str">
        <f aca="false">IF($A679="","",DATE(YEAR($A679),MONTH($A679),1))</f>
        <v/>
      </c>
    </row>
    <row r="680" customFormat="false" ht="15" hidden="false" customHeight="false" outlineLevel="0" collapsed="false">
      <c r="A680" s="25"/>
      <c r="B680" s="19"/>
      <c r="C680" s="19"/>
      <c r="D680" s="26"/>
      <c r="E680" s="27" t="str">
        <f aca="false">IF($B680="","",IFERROR(INDEX(Products!$B$2:$B$201,MATCH($B680,Products!$A$2:$A$201,0)),"Unknown code"))</f>
        <v/>
      </c>
      <c r="F680" s="22" t="str">
        <f aca="false">IF($B680="","",IFERROR(INDEX(Products!$C$2:$C$201,MATCH($B680,Products!$A$2:$A$201,0)),""))</f>
        <v/>
      </c>
      <c r="G680" s="17" t="str">
        <f aca="false">IF($B680="","",IFERROR(INDEX(Products!$D$2:$D$201,MATCH($B680,Products!$A$2:$A$201,0)),0))</f>
        <v/>
      </c>
      <c r="H680" s="17" t="str">
        <f aca="false">IF($B680="","",C680*G680*(1-D680))</f>
        <v/>
      </c>
      <c r="I680" s="17" t="str">
        <f aca="false">IF($B680="","",C680*IFERROR(INDEX(Products!$E$2:$E$201,MATCH($B680,Products!$A$2:$A$201,0)),0))</f>
        <v/>
      </c>
      <c r="J680" s="17" t="str">
        <f aca="false">IF($B680="","",H680-I680)</f>
        <v/>
      </c>
      <c r="K680" s="16" t="str">
        <f aca="false">IF($A680="","",DATE(YEAR($A680),MONTH($A680),1))</f>
        <v/>
      </c>
    </row>
    <row r="681" customFormat="false" ht="15" hidden="false" customHeight="false" outlineLevel="0" collapsed="false">
      <c r="A681" s="25"/>
      <c r="B681" s="19"/>
      <c r="C681" s="19"/>
      <c r="D681" s="26"/>
      <c r="E681" s="27" t="str">
        <f aca="false">IF($B681="","",IFERROR(INDEX(Products!$B$2:$B$201,MATCH($B681,Products!$A$2:$A$201,0)),"Unknown code"))</f>
        <v/>
      </c>
      <c r="F681" s="22" t="str">
        <f aca="false">IF($B681="","",IFERROR(INDEX(Products!$C$2:$C$201,MATCH($B681,Products!$A$2:$A$201,0)),""))</f>
        <v/>
      </c>
      <c r="G681" s="17" t="str">
        <f aca="false">IF($B681="","",IFERROR(INDEX(Products!$D$2:$D$201,MATCH($B681,Products!$A$2:$A$201,0)),0))</f>
        <v/>
      </c>
      <c r="H681" s="17" t="str">
        <f aca="false">IF($B681="","",C681*G681*(1-D681))</f>
        <v/>
      </c>
      <c r="I681" s="17" t="str">
        <f aca="false">IF($B681="","",C681*IFERROR(INDEX(Products!$E$2:$E$201,MATCH($B681,Products!$A$2:$A$201,0)),0))</f>
        <v/>
      </c>
      <c r="J681" s="17" t="str">
        <f aca="false">IF($B681="","",H681-I681)</f>
        <v/>
      </c>
      <c r="K681" s="16" t="str">
        <f aca="false">IF($A681="","",DATE(YEAR($A681),MONTH($A681),1))</f>
        <v/>
      </c>
    </row>
    <row r="682" customFormat="false" ht="15" hidden="false" customHeight="false" outlineLevel="0" collapsed="false">
      <c r="A682" s="25"/>
      <c r="B682" s="19"/>
      <c r="C682" s="19"/>
      <c r="D682" s="26"/>
      <c r="E682" s="27" t="str">
        <f aca="false">IF($B682="","",IFERROR(INDEX(Products!$B$2:$B$201,MATCH($B682,Products!$A$2:$A$201,0)),"Unknown code"))</f>
        <v/>
      </c>
      <c r="F682" s="22" t="str">
        <f aca="false">IF($B682="","",IFERROR(INDEX(Products!$C$2:$C$201,MATCH($B682,Products!$A$2:$A$201,0)),""))</f>
        <v/>
      </c>
      <c r="G682" s="17" t="str">
        <f aca="false">IF($B682="","",IFERROR(INDEX(Products!$D$2:$D$201,MATCH($B682,Products!$A$2:$A$201,0)),0))</f>
        <v/>
      </c>
      <c r="H682" s="17" t="str">
        <f aca="false">IF($B682="","",C682*G682*(1-D682))</f>
        <v/>
      </c>
      <c r="I682" s="17" t="str">
        <f aca="false">IF($B682="","",C682*IFERROR(INDEX(Products!$E$2:$E$201,MATCH($B682,Products!$A$2:$A$201,0)),0))</f>
        <v/>
      </c>
      <c r="J682" s="17" t="str">
        <f aca="false">IF($B682="","",H682-I682)</f>
        <v/>
      </c>
      <c r="K682" s="16" t="str">
        <f aca="false">IF($A682="","",DATE(YEAR($A682),MONTH($A682),1))</f>
        <v/>
      </c>
    </row>
    <row r="683" customFormat="false" ht="15" hidden="false" customHeight="false" outlineLevel="0" collapsed="false">
      <c r="A683" s="25"/>
      <c r="B683" s="19"/>
      <c r="C683" s="19"/>
      <c r="D683" s="26"/>
      <c r="E683" s="27" t="str">
        <f aca="false">IF($B683="","",IFERROR(INDEX(Products!$B$2:$B$201,MATCH($B683,Products!$A$2:$A$201,0)),"Unknown code"))</f>
        <v/>
      </c>
      <c r="F683" s="22" t="str">
        <f aca="false">IF($B683="","",IFERROR(INDEX(Products!$C$2:$C$201,MATCH($B683,Products!$A$2:$A$201,0)),""))</f>
        <v/>
      </c>
      <c r="G683" s="17" t="str">
        <f aca="false">IF($B683="","",IFERROR(INDEX(Products!$D$2:$D$201,MATCH($B683,Products!$A$2:$A$201,0)),0))</f>
        <v/>
      </c>
      <c r="H683" s="17" t="str">
        <f aca="false">IF($B683="","",C683*G683*(1-D683))</f>
        <v/>
      </c>
      <c r="I683" s="17" t="str">
        <f aca="false">IF($B683="","",C683*IFERROR(INDEX(Products!$E$2:$E$201,MATCH($B683,Products!$A$2:$A$201,0)),0))</f>
        <v/>
      </c>
      <c r="J683" s="17" t="str">
        <f aca="false">IF($B683="","",H683-I683)</f>
        <v/>
      </c>
      <c r="K683" s="16" t="str">
        <f aca="false">IF($A683="","",DATE(YEAR($A683),MONTH($A683),1))</f>
        <v/>
      </c>
    </row>
    <row r="684" customFormat="false" ht="15" hidden="false" customHeight="false" outlineLevel="0" collapsed="false">
      <c r="A684" s="25"/>
      <c r="B684" s="19"/>
      <c r="C684" s="19"/>
      <c r="D684" s="26"/>
      <c r="E684" s="27" t="str">
        <f aca="false">IF($B684="","",IFERROR(INDEX(Products!$B$2:$B$201,MATCH($B684,Products!$A$2:$A$201,0)),"Unknown code"))</f>
        <v/>
      </c>
      <c r="F684" s="22" t="str">
        <f aca="false">IF($B684="","",IFERROR(INDEX(Products!$C$2:$C$201,MATCH($B684,Products!$A$2:$A$201,0)),""))</f>
        <v/>
      </c>
      <c r="G684" s="17" t="str">
        <f aca="false">IF($B684="","",IFERROR(INDEX(Products!$D$2:$D$201,MATCH($B684,Products!$A$2:$A$201,0)),0))</f>
        <v/>
      </c>
      <c r="H684" s="17" t="str">
        <f aca="false">IF($B684="","",C684*G684*(1-D684))</f>
        <v/>
      </c>
      <c r="I684" s="17" t="str">
        <f aca="false">IF($B684="","",C684*IFERROR(INDEX(Products!$E$2:$E$201,MATCH($B684,Products!$A$2:$A$201,0)),0))</f>
        <v/>
      </c>
      <c r="J684" s="17" t="str">
        <f aca="false">IF($B684="","",H684-I684)</f>
        <v/>
      </c>
      <c r="K684" s="16" t="str">
        <f aca="false">IF($A684="","",DATE(YEAR($A684),MONTH($A684),1))</f>
        <v/>
      </c>
    </row>
    <row r="685" customFormat="false" ht="15" hidden="false" customHeight="false" outlineLevel="0" collapsed="false">
      <c r="A685" s="25"/>
      <c r="B685" s="19"/>
      <c r="C685" s="19"/>
      <c r="D685" s="26"/>
      <c r="E685" s="27" t="str">
        <f aca="false">IF($B685="","",IFERROR(INDEX(Products!$B$2:$B$201,MATCH($B685,Products!$A$2:$A$201,0)),"Unknown code"))</f>
        <v/>
      </c>
      <c r="F685" s="22" t="str">
        <f aca="false">IF($B685="","",IFERROR(INDEX(Products!$C$2:$C$201,MATCH($B685,Products!$A$2:$A$201,0)),""))</f>
        <v/>
      </c>
      <c r="G685" s="17" t="str">
        <f aca="false">IF($B685="","",IFERROR(INDEX(Products!$D$2:$D$201,MATCH($B685,Products!$A$2:$A$201,0)),0))</f>
        <v/>
      </c>
      <c r="H685" s="17" t="str">
        <f aca="false">IF($B685="","",C685*G685*(1-D685))</f>
        <v/>
      </c>
      <c r="I685" s="17" t="str">
        <f aca="false">IF($B685="","",C685*IFERROR(INDEX(Products!$E$2:$E$201,MATCH($B685,Products!$A$2:$A$201,0)),0))</f>
        <v/>
      </c>
      <c r="J685" s="17" t="str">
        <f aca="false">IF($B685="","",H685-I685)</f>
        <v/>
      </c>
      <c r="K685" s="16" t="str">
        <f aca="false">IF($A685="","",DATE(YEAR($A685),MONTH($A685),1))</f>
        <v/>
      </c>
    </row>
    <row r="686" customFormat="false" ht="15" hidden="false" customHeight="false" outlineLevel="0" collapsed="false">
      <c r="A686" s="25"/>
      <c r="B686" s="19"/>
      <c r="C686" s="19"/>
      <c r="D686" s="26"/>
      <c r="E686" s="27" t="str">
        <f aca="false">IF($B686="","",IFERROR(INDEX(Products!$B$2:$B$201,MATCH($B686,Products!$A$2:$A$201,0)),"Unknown code"))</f>
        <v/>
      </c>
      <c r="F686" s="22" t="str">
        <f aca="false">IF($B686="","",IFERROR(INDEX(Products!$C$2:$C$201,MATCH($B686,Products!$A$2:$A$201,0)),""))</f>
        <v/>
      </c>
      <c r="G686" s="17" t="str">
        <f aca="false">IF($B686="","",IFERROR(INDEX(Products!$D$2:$D$201,MATCH($B686,Products!$A$2:$A$201,0)),0))</f>
        <v/>
      </c>
      <c r="H686" s="17" t="str">
        <f aca="false">IF($B686="","",C686*G686*(1-D686))</f>
        <v/>
      </c>
      <c r="I686" s="17" t="str">
        <f aca="false">IF($B686="","",C686*IFERROR(INDEX(Products!$E$2:$E$201,MATCH($B686,Products!$A$2:$A$201,0)),0))</f>
        <v/>
      </c>
      <c r="J686" s="17" t="str">
        <f aca="false">IF($B686="","",H686-I686)</f>
        <v/>
      </c>
      <c r="K686" s="16" t="str">
        <f aca="false">IF($A686="","",DATE(YEAR($A686),MONTH($A686),1))</f>
        <v/>
      </c>
    </row>
    <row r="687" customFormat="false" ht="15" hidden="false" customHeight="false" outlineLevel="0" collapsed="false">
      <c r="A687" s="25"/>
      <c r="B687" s="19"/>
      <c r="C687" s="19"/>
      <c r="D687" s="26"/>
      <c r="E687" s="27" t="str">
        <f aca="false">IF($B687="","",IFERROR(INDEX(Products!$B$2:$B$201,MATCH($B687,Products!$A$2:$A$201,0)),"Unknown code"))</f>
        <v/>
      </c>
      <c r="F687" s="22" t="str">
        <f aca="false">IF($B687="","",IFERROR(INDEX(Products!$C$2:$C$201,MATCH($B687,Products!$A$2:$A$201,0)),""))</f>
        <v/>
      </c>
      <c r="G687" s="17" t="str">
        <f aca="false">IF($B687="","",IFERROR(INDEX(Products!$D$2:$D$201,MATCH($B687,Products!$A$2:$A$201,0)),0))</f>
        <v/>
      </c>
      <c r="H687" s="17" t="str">
        <f aca="false">IF($B687="","",C687*G687*(1-D687))</f>
        <v/>
      </c>
      <c r="I687" s="17" t="str">
        <f aca="false">IF($B687="","",C687*IFERROR(INDEX(Products!$E$2:$E$201,MATCH($B687,Products!$A$2:$A$201,0)),0))</f>
        <v/>
      </c>
      <c r="J687" s="17" t="str">
        <f aca="false">IF($B687="","",H687-I687)</f>
        <v/>
      </c>
      <c r="K687" s="16" t="str">
        <f aca="false">IF($A687="","",DATE(YEAR($A687),MONTH($A687),1))</f>
        <v/>
      </c>
    </row>
    <row r="688" customFormat="false" ht="15" hidden="false" customHeight="false" outlineLevel="0" collapsed="false">
      <c r="A688" s="25"/>
      <c r="B688" s="19"/>
      <c r="C688" s="19"/>
      <c r="D688" s="26"/>
      <c r="E688" s="27" t="str">
        <f aca="false">IF($B688="","",IFERROR(INDEX(Products!$B$2:$B$201,MATCH($B688,Products!$A$2:$A$201,0)),"Unknown code"))</f>
        <v/>
      </c>
      <c r="F688" s="22" t="str">
        <f aca="false">IF($B688="","",IFERROR(INDEX(Products!$C$2:$C$201,MATCH($B688,Products!$A$2:$A$201,0)),""))</f>
        <v/>
      </c>
      <c r="G688" s="17" t="str">
        <f aca="false">IF($B688="","",IFERROR(INDEX(Products!$D$2:$D$201,MATCH($B688,Products!$A$2:$A$201,0)),0))</f>
        <v/>
      </c>
      <c r="H688" s="17" t="str">
        <f aca="false">IF($B688="","",C688*G688*(1-D688))</f>
        <v/>
      </c>
      <c r="I688" s="17" t="str">
        <f aca="false">IF($B688="","",C688*IFERROR(INDEX(Products!$E$2:$E$201,MATCH($B688,Products!$A$2:$A$201,0)),0))</f>
        <v/>
      </c>
      <c r="J688" s="17" t="str">
        <f aca="false">IF($B688="","",H688-I688)</f>
        <v/>
      </c>
      <c r="K688" s="16" t="str">
        <f aca="false">IF($A688="","",DATE(YEAR($A688),MONTH($A688),1))</f>
        <v/>
      </c>
    </row>
    <row r="689" customFormat="false" ht="15" hidden="false" customHeight="false" outlineLevel="0" collapsed="false">
      <c r="A689" s="25"/>
      <c r="B689" s="19"/>
      <c r="C689" s="19"/>
      <c r="D689" s="26"/>
      <c r="E689" s="27" t="str">
        <f aca="false">IF($B689="","",IFERROR(INDEX(Products!$B$2:$B$201,MATCH($B689,Products!$A$2:$A$201,0)),"Unknown code"))</f>
        <v/>
      </c>
      <c r="F689" s="22" t="str">
        <f aca="false">IF($B689="","",IFERROR(INDEX(Products!$C$2:$C$201,MATCH($B689,Products!$A$2:$A$201,0)),""))</f>
        <v/>
      </c>
      <c r="G689" s="17" t="str">
        <f aca="false">IF($B689="","",IFERROR(INDEX(Products!$D$2:$D$201,MATCH($B689,Products!$A$2:$A$201,0)),0))</f>
        <v/>
      </c>
      <c r="H689" s="17" t="str">
        <f aca="false">IF($B689="","",C689*G689*(1-D689))</f>
        <v/>
      </c>
      <c r="I689" s="17" t="str">
        <f aca="false">IF($B689="","",C689*IFERROR(INDEX(Products!$E$2:$E$201,MATCH($B689,Products!$A$2:$A$201,0)),0))</f>
        <v/>
      </c>
      <c r="J689" s="17" t="str">
        <f aca="false">IF($B689="","",H689-I689)</f>
        <v/>
      </c>
      <c r="K689" s="16" t="str">
        <f aca="false">IF($A689="","",DATE(YEAR($A689),MONTH($A689),1))</f>
        <v/>
      </c>
    </row>
    <row r="690" customFormat="false" ht="15" hidden="false" customHeight="false" outlineLevel="0" collapsed="false">
      <c r="A690" s="25"/>
      <c r="B690" s="19"/>
      <c r="C690" s="19"/>
      <c r="D690" s="26"/>
      <c r="E690" s="27" t="str">
        <f aca="false">IF($B690="","",IFERROR(INDEX(Products!$B$2:$B$201,MATCH($B690,Products!$A$2:$A$201,0)),"Unknown code"))</f>
        <v/>
      </c>
      <c r="F690" s="22" t="str">
        <f aca="false">IF($B690="","",IFERROR(INDEX(Products!$C$2:$C$201,MATCH($B690,Products!$A$2:$A$201,0)),""))</f>
        <v/>
      </c>
      <c r="G690" s="17" t="str">
        <f aca="false">IF($B690="","",IFERROR(INDEX(Products!$D$2:$D$201,MATCH($B690,Products!$A$2:$A$201,0)),0))</f>
        <v/>
      </c>
      <c r="H690" s="17" t="str">
        <f aca="false">IF($B690="","",C690*G690*(1-D690))</f>
        <v/>
      </c>
      <c r="I690" s="17" t="str">
        <f aca="false">IF($B690="","",C690*IFERROR(INDEX(Products!$E$2:$E$201,MATCH($B690,Products!$A$2:$A$201,0)),0))</f>
        <v/>
      </c>
      <c r="J690" s="17" t="str">
        <f aca="false">IF($B690="","",H690-I690)</f>
        <v/>
      </c>
      <c r="K690" s="16" t="str">
        <f aca="false">IF($A690="","",DATE(YEAR($A690),MONTH($A690),1))</f>
        <v/>
      </c>
    </row>
    <row r="691" customFormat="false" ht="15" hidden="false" customHeight="false" outlineLevel="0" collapsed="false">
      <c r="A691" s="25"/>
      <c r="B691" s="19"/>
      <c r="C691" s="19"/>
      <c r="D691" s="26"/>
      <c r="E691" s="27" t="str">
        <f aca="false">IF($B691="","",IFERROR(INDEX(Products!$B$2:$B$201,MATCH($B691,Products!$A$2:$A$201,0)),"Unknown code"))</f>
        <v/>
      </c>
      <c r="F691" s="22" t="str">
        <f aca="false">IF($B691="","",IFERROR(INDEX(Products!$C$2:$C$201,MATCH($B691,Products!$A$2:$A$201,0)),""))</f>
        <v/>
      </c>
      <c r="G691" s="17" t="str">
        <f aca="false">IF($B691="","",IFERROR(INDEX(Products!$D$2:$D$201,MATCH($B691,Products!$A$2:$A$201,0)),0))</f>
        <v/>
      </c>
      <c r="H691" s="17" t="str">
        <f aca="false">IF($B691="","",C691*G691*(1-D691))</f>
        <v/>
      </c>
      <c r="I691" s="17" t="str">
        <f aca="false">IF($B691="","",C691*IFERROR(INDEX(Products!$E$2:$E$201,MATCH($B691,Products!$A$2:$A$201,0)),0))</f>
        <v/>
      </c>
      <c r="J691" s="17" t="str">
        <f aca="false">IF($B691="","",H691-I691)</f>
        <v/>
      </c>
      <c r="K691" s="16" t="str">
        <f aca="false">IF($A691="","",DATE(YEAR($A691),MONTH($A691),1))</f>
        <v/>
      </c>
    </row>
    <row r="692" customFormat="false" ht="15" hidden="false" customHeight="false" outlineLevel="0" collapsed="false">
      <c r="A692" s="25"/>
      <c r="B692" s="19"/>
      <c r="C692" s="19"/>
      <c r="D692" s="26"/>
      <c r="E692" s="27" t="str">
        <f aca="false">IF($B692="","",IFERROR(INDEX(Products!$B$2:$B$201,MATCH($B692,Products!$A$2:$A$201,0)),"Unknown code"))</f>
        <v/>
      </c>
      <c r="F692" s="22" t="str">
        <f aca="false">IF($B692="","",IFERROR(INDEX(Products!$C$2:$C$201,MATCH($B692,Products!$A$2:$A$201,0)),""))</f>
        <v/>
      </c>
      <c r="G692" s="17" t="str">
        <f aca="false">IF($B692="","",IFERROR(INDEX(Products!$D$2:$D$201,MATCH($B692,Products!$A$2:$A$201,0)),0))</f>
        <v/>
      </c>
      <c r="H692" s="17" t="str">
        <f aca="false">IF($B692="","",C692*G692*(1-D692))</f>
        <v/>
      </c>
      <c r="I692" s="17" t="str">
        <f aca="false">IF($B692="","",C692*IFERROR(INDEX(Products!$E$2:$E$201,MATCH($B692,Products!$A$2:$A$201,0)),0))</f>
        <v/>
      </c>
      <c r="J692" s="17" t="str">
        <f aca="false">IF($B692="","",H692-I692)</f>
        <v/>
      </c>
      <c r="K692" s="16" t="str">
        <f aca="false">IF($A692="","",DATE(YEAR($A692),MONTH($A692),1))</f>
        <v/>
      </c>
    </row>
    <row r="693" customFormat="false" ht="15" hidden="false" customHeight="false" outlineLevel="0" collapsed="false">
      <c r="A693" s="25"/>
      <c r="B693" s="19"/>
      <c r="C693" s="19"/>
      <c r="D693" s="26"/>
      <c r="E693" s="27" t="str">
        <f aca="false">IF($B693="","",IFERROR(INDEX(Products!$B$2:$B$201,MATCH($B693,Products!$A$2:$A$201,0)),"Unknown code"))</f>
        <v/>
      </c>
      <c r="F693" s="22" t="str">
        <f aca="false">IF($B693="","",IFERROR(INDEX(Products!$C$2:$C$201,MATCH($B693,Products!$A$2:$A$201,0)),""))</f>
        <v/>
      </c>
      <c r="G693" s="17" t="str">
        <f aca="false">IF($B693="","",IFERROR(INDEX(Products!$D$2:$D$201,MATCH($B693,Products!$A$2:$A$201,0)),0))</f>
        <v/>
      </c>
      <c r="H693" s="17" t="str">
        <f aca="false">IF($B693="","",C693*G693*(1-D693))</f>
        <v/>
      </c>
      <c r="I693" s="17" t="str">
        <f aca="false">IF($B693="","",C693*IFERROR(INDEX(Products!$E$2:$E$201,MATCH($B693,Products!$A$2:$A$201,0)),0))</f>
        <v/>
      </c>
      <c r="J693" s="17" t="str">
        <f aca="false">IF($B693="","",H693-I693)</f>
        <v/>
      </c>
      <c r="K693" s="16" t="str">
        <f aca="false">IF($A693="","",DATE(YEAR($A693),MONTH($A693),1))</f>
        <v/>
      </c>
    </row>
    <row r="694" customFormat="false" ht="15" hidden="false" customHeight="false" outlineLevel="0" collapsed="false">
      <c r="A694" s="25"/>
      <c r="B694" s="19"/>
      <c r="C694" s="19"/>
      <c r="D694" s="26"/>
      <c r="E694" s="27" t="str">
        <f aca="false">IF($B694="","",IFERROR(INDEX(Products!$B$2:$B$201,MATCH($B694,Products!$A$2:$A$201,0)),"Unknown code"))</f>
        <v/>
      </c>
      <c r="F694" s="22" t="str">
        <f aca="false">IF($B694="","",IFERROR(INDEX(Products!$C$2:$C$201,MATCH($B694,Products!$A$2:$A$201,0)),""))</f>
        <v/>
      </c>
      <c r="G694" s="17" t="str">
        <f aca="false">IF($B694="","",IFERROR(INDEX(Products!$D$2:$D$201,MATCH($B694,Products!$A$2:$A$201,0)),0))</f>
        <v/>
      </c>
      <c r="H694" s="17" t="str">
        <f aca="false">IF($B694="","",C694*G694*(1-D694))</f>
        <v/>
      </c>
      <c r="I694" s="17" t="str">
        <f aca="false">IF($B694="","",C694*IFERROR(INDEX(Products!$E$2:$E$201,MATCH($B694,Products!$A$2:$A$201,0)),0))</f>
        <v/>
      </c>
      <c r="J694" s="17" t="str">
        <f aca="false">IF($B694="","",H694-I694)</f>
        <v/>
      </c>
      <c r="K694" s="16" t="str">
        <f aca="false">IF($A694="","",DATE(YEAR($A694),MONTH($A694),1))</f>
        <v/>
      </c>
    </row>
    <row r="695" customFormat="false" ht="15" hidden="false" customHeight="false" outlineLevel="0" collapsed="false">
      <c r="A695" s="25"/>
      <c r="B695" s="19"/>
      <c r="C695" s="19"/>
      <c r="D695" s="26"/>
      <c r="E695" s="27" t="str">
        <f aca="false">IF($B695="","",IFERROR(INDEX(Products!$B$2:$B$201,MATCH($B695,Products!$A$2:$A$201,0)),"Unknown code"))</f>
        <v/>
      </c>
      <c r="F695" s="22" t="str">
        <f aca="false">IF($B695="","",IFERROR(INDEX(Products!$C$2:$C$201,MATCH($B695,Products!$A$2:$A$201,0)),""))</f>
        <v/>
      </c>
      <c r="G695" s="17" t="str">
        <f aca="false">IF($B695="","",IFERROR(INDEX(Products!$D$2:$D$201,MATCH($B695,Products!$A$2:$A$201,0)),0))</f>
        <v/>
      </c>
      <c r="H695" s="17" t="str">
        <f aca="false">IF($B695="","",C695*G695*(1-D695))</f>
        <v/>
      </c>
      <c r="I695" s="17" t="str">
        <f aca="false">IF($B695="","",C695*IFERROR(INDEX(Products!$E$2:$E$201,MATCH($B695,Products!$A$2:$A$201,0)),0))</f>
        <v/>
      </c>
      <c r="J695" s="17" t="str">
        <f aca="false">IF($B695="","",H695-I695)</f>
        <v/>
      </c>
      <c r="K695" s="16" t="str">
        <f aca="false">IF($A695="","",DATE(YEAR($A695),MONTH($A695),1))</f>
        <v/>
      </c>
    </row>
    <row r="696" customFormat="false" ht="15" hidden="false" customHeight="false" outlineLevel="0" collapsed="false">
      <c r="A696" s="25"/>
      <c r="B696" s="19"/>
      <c r="C696" s="19"/>
      <c r="D696" s="26"/>
      <c r="E696" s="27" t="str">
        <f aca="false">IF($B696="","",IFERROR(INDEX(Products!$B$2:$B$201,MATCH($B696,Products!$A$2:$A$201,0)),"Unknown code"))</f>
        <v/>
      </c>
      <c r="F696" s="22" t="str">
        <f aca="false">IF($B696="","",IFERROR(INDEX(Products!$C$2:$C$201,MATCH($B696,Products!$A$2:$A$201,0)),""))</f>
        <v/>
      </c>
      <c r="G696" s="17" t="str">
        <f aca="false">IF($B696="","",IFERROR(INDEX(Products!$D$2:$D$201,MATCH($B696,Products!$A$2:$A$201,0)),0))</f>
        <v/>
      </c>
      <c r="H696" s="17" t="str">
        <f aca="false">IF($B696="","",C696*G696*(1-D696))</f>
        <v/>
      </c>
      <c r="I696" s="17" t="str">
        <f aca="false">IF($B696="","",C696*IFERROR(INDEX(Products!$E$2:$E$201,MATCH($B696,Products!$A$2:$A$201,0)),0))</f>
        <v/>
      </c>
      <c r="J696" s="17" t="str">
        <f aca="false">IF($B696="","",H696-I696)</f>
        <v/>
      </c>
      <c r="K696" s="16" t="str">
        <f aca="false">IF($A696="","",DATE(YEAR($A696),MONTH($A696),1))</f>
        <v/>
      </c>
    </row>
    <row r="697" customFormat="false" ht="15" hidden="false" customHeight="false" outlineLevel="0" collapsed="false">
      <c r="A697" s="25"/>
      <c r="B697" s="19"/>
      <c r="C697" s="19"/>
      <c r="D697" s="26"/>
      <c r="E697" s="27" t="str">
        <f aca="false">IF($B697="","",IFERROR(INDEX(Products!$B$2:$B$201,MATCH($B697,Products!$A$2:$A$201,0)),"Unknown code"))</f>
        <v/>
      </c>
      <c r="F697" s="22" t="str">
        <f aca="false">IF($B697="","",IFERROR(INDEX(Products!$C$2:$C$201,MATCH($B697,Products!$A$2:$A$201,0)),""))</f>
        <v/>
      </c>
      <c r="G697" s="17" t="str">
        <f aca="false">IF($B697="","",IFERROR(INDEX(Products!$D$2:$D$201,MATCH($B697,Products!$A$2:$A$201,0)),0))</f>
        <v/>
      </c>
      <c r="H697" s="17" t="str">
        <f aca="false">IF($B697="","",C697*G697*(1-D697))</f>
        <v/>
      </c>
      <c r="I697" s="17" t="str">
        <f aca="false">IF($B697="","",C697*IFERROR(INDEX(Products!$E$2:$E$201,MATCH($B697,Products!$A$2:$A$201,0)),0))</f>
        <v/>
      </c>
      <c r="J697" s="17" t="str">
        <f aca="false">IF($B697="","",H697-I697)</f>
        <v/>
      </c>
      <c r="K697" s="16" t="str">
        <f aca="false">IF($A697="","",DATE(YEAR($A697),MONTH($A697),1))</f>
        <v/>
      </c>
    </row>
    <row r="698" customFormat="false" ht="15" hidden="false" customHeight="false" outlineLevel="0" collapsed="false">
      <c r="A698" s="25"/>
      <c r="B698" s="19"/>
      <c r="C698" s="19"/>
      <c r="D698" s="26"/>
      <c r="E698" s="27" t="str">
        <f aca="false">IF($B698="","",IFERROR(INDEX(Products!$B$2:$B$201,MATCH($B698,Products!$A$2:$A$201,0)),"Unknown code"))</f>
        <v/>
      </c>
      <c r="F698" s="22" t="str">
        <f aca="false">IF($B698="","",IFERROR(INDEX(Products!$C$2:$C$201,MATCH($B698,Products!$A$2:$A$201,0)),""))</f>
        <v/>
      </c>
      <c r="G698" s="17" t="str">
        <f aca="false">IF($B698="","",IFERROR(INDEX(Products!$D$2:$D$201,MATCH($B698,Products!$A$2:$A$201,0)),0))</f>
        <v/>
      </c>
      <c r="H698" s="17" t="str">
        <f aca="false">IF($B698="","",C698*G698*(1-D698))</f>
        <v/>
      </c>
      <c r="I698" s="17" t="str">
        <f aca="false">IF($B698="","",C698*IFERROR(INDEX(Products!$E$2:$E$201,MATCH($B698,Products!$A$2:$A$201,0)),0))</f>
        <v/>
      </c>
      <c r="J698" s="17" t="str">
        <f aca="false">IF($B698="","",H698-I698)</f>
        <v/>
      </c>
      <c r="K698" s="16" t="str">
        <f aca="false">IF($A698="","",DATE(YEAR($A698),MONTH($A698),1))</f>
        <v/>
      </c>
    </row>
    <row r="699" customFormat="false" ht="15" hidden="false" customHeight="false" outlineLevel="0" collapsed="false">
      <c r="A699" s="25"/>
      <c r="B699" s="19"/>
      <c r="C699" s="19"/>
      <c r="D699" s="26"/>
      <c r="E699" s="27" t="str">
        <f aca="false">IF($B699="","",IFERROR(INDEX(Products!$B$2:$B$201,MATCH($B699,Products!$A$2:$A$201,0)),"Unknown code"))</f>
        <v/>
      </c>
      <c r="F699" s="22" t="str">
        <f aca="false">IF($B699="","",IFERROR(INDEX(Products!$C$2:$C$201,MATCH($B699,Products!$A$2:$A$201,0)),""))</f>
        <v/>
      </c>
      <c r="G699" s="17" t="str">
        <f aca="false">IF($B699="","",IFERROR(INDEX(Products!$D$2:$D$201,MATCH($B699,Products!$A$2:$A$201,0)),0))</f>
        <v/>
      </c>
      <c r="H699" s="17" t="str">
        <f aca="false">IF($B699="","",C699*G699*(1-D699))</f>
        <v/>
      </c>
      <c r="I699" s="17" t="str">
        <f aca="false">IF($B699="","",C699*IFERROR(INDEX(Products!$E$2:$E$201,MATCH($B699,Products!$A$2:$A$201,0)),0))</f>
        <v/>
      </c>
      <c r="J699" s="17" t="str">
        <f aca="false">IF($B699="","",H699-I699)</f>
        <v/>
      </c>
      <c r="K699" s="16" t="str">
        <f aca="false">IF($A699="","",DATE(YEAR($A699),MONTH($A699),1))</f>
        <v/>
      </c>
    </row>
    <row r="700" customFormat="false" ht="15" hidden="false" customHeight="false" outlineLevel="0" collapsed="false">
      <c r="A700" s="25"/>
      <c r="B700" s="19"/>
      <c r="C700" s="19"/>
      <c r="D700" s="26"/>
      <c r="E700" s="27" t="str">
        <f aca="false">IF($B700="","",IFERROR(INDEX(Products!$B$2:$B$201,MATCH($B700,Products!$A$2:$A$201,0)),"Unknown code"))</f>
        <v/>
      </c>
      <c r="F700" s="22" t="str">
        <f aca="false">IF($B700="","",IFERROR(INDEX(Products!$C$2:$C$201,MATCH($B700,Products!$A$2:$A$201,0)),""))</f>
        <v/>
      </c>
      <c r="G700" s="17" t="str">
        <f aca="false">IF($B700="","",IFERROR(INDEX(Products!$D$2:$D$201,MATCH($B700,Products!$A$2:$A$201,0)),0))</f>
        <v/>
      </c>
      <c r="H700" s="17" t="str">
        <f aca="false">IF($B700="","",C700*G700*(1-D700))</f>
        <v/>
      </c>
      <c r="I700" s="17" t="str">
        <f aca="false">IF($B700="","",C700*IFERROR(INDEX(Products!$E$2:$E$201,MATCH($B700,Products!$A$2:$A$201,0)),0))</f>
        <v/>
      </c>
      <c r="J700" s="17" t="str">
        <f aca="false">IF($B700="","",H700-I700)</f>
        <v/>
      </c>
      <c r="K700" s="16" t="str">
        <f aca="false">IF($A700="","",DATE(YEAR($A700),MONTH($A700),1))</f>
        <v/>
      </c>
    </row>
    <row r="701" customFormat="false" ht="15" hidden="false" customHeight="false" outlineLevel="0" collapsed="false">
      <c r="A701" s="25"/>
      <c r="B701" s="19"/>
      <c r="C701" s="19"/>
      <c r="D701" s="26"/>
      <c r="E701" s="27" t="str">
        <f aca="false">IF($B701="","",IFERROR(INDEX(Products!$B$2:$B$201,MATCH($B701,Products!$A$2:$A$201,0)),"Unknown code"))</f>
        <v/>
      </c>
      <c r="F701" s="22" t="str">
        <f aca="false">IF($B701="","",IFERROR(INDEX(Products!$C$2:$C$201,MATCH($B701,Products!$A$2:$A$201,0)),""))</f>
        <v/>
      </c>
      <c r="G701" s="17" t="str">
        <f aca="false">IF($B701="","",IFERROR(INDEX(Products!$D$2:$D$201,MATCH($B701,Products!$A$2:$A$201,0)),0))</f>
        <v/>
      </c>
      <c r="H701" s="17" t="str">
        <f aca="false">IF($B701="","",C701*G701*(1-D701))</f>
        <v/>
      </c>
      <c r="I701" s="17" t="str">
        <f aca="false">IF($B701="","",C701*IFERROR(INDEX(Products!$E$2:$E$201,MATCH($B701,Products!$A$2:$A$201,0)),0))</f>
        <v/>
      </c>
      <c r="J701" s="17" t="str">
        <f aca="false">IF($B701="","",H701-I701)</f>
        <v/>
      </c>
      <c r="K701" s="16" t="str">
        <f aca="false">IF($A701="","",DATE(YEAR($A701),MONTH($A701),1))</f>
        <v/>
      </c>
    </row>
    <row r="702" customFormat="false" ht="15" hidden="false" customHeight="false" outlineLevel="0" collapsed="false">
      <c r="A702" s="25"/>
      <c r="B702" s="19"/>
      <c r="C702" s="19"/>
      <c r="D702" s="26"/>
      <c r="E702" s="27" t="str">
        <f aca="false">IF($B702="","",IFERROR(INDEX(Products!$B$2:$B$201,MATCH($B702,Products!$A$2:$A$201,0)),"Unknown code"))</f>
        <v/>
      </c>
      <c r="F702" s="22" t="str">
        <f aca="false">IF($B702="","",IFERROR(INDEX(Products!$C$2:$C$201,MATCH($B702,Products!$A$2:$A$201,0)),""))</f>
        <v/>
      </c>
      <c r="G702" s="17" t="str">
        <f aca="false">IF($B702="","",IFERROR(INDEX(Products!$D$2:$D$201,MATCH($B702,Products!$A$2:$A$201,0)),0))</f>
        <v/>
      </c>
      <c r="H702" s="17" t="str">
        <f aca="false">IF($B702="","",C702*G702*(1-D702))</f>
        <v/>
      </c>
      <c r="I702" s="17" t="str">
        <f aca="false">IF($B702="","",C702*IFERROR(INDEX(Products!$E$2:$E$201,MATCH($B702,Products!$A$2:$A$201,0)),0))</f>
        <v/>
      </c>
      <c r="J702" s="17" t="str">
        <f aca="false">IF($B702="","",H702-I702)</f>
        <v/>
      </c>
      <c r="K702" s="16" t="str">
        <f aca="false">IF($A702="","",DATE(YEAR($A702),MONTH($A702),1))</f>
        <v/>
      </c>
    </row>
    <row r="703" customFormat="false" ht="15" hidden="false" customHeight="false" outlineLevel="0" collapsed="false">
      <c r="A703" s="25"/>
      <c r="B703" s="19"/>
      <c r="C703" s="19"/>
      <c r="D703" s="26"/>
      <c r="E703" s="27" t="str">
        <f aca="false">IF($B703="","",IFERROR(INDEX(Products!$B$2:$B$201,MATCH($B703,Products!$A$2:$A$201,0)),"Unknown code"))</f>
        <v/>
      </c>
      <c r="F703" s="22" t="str">
        <f aca="false">IF($B703="","",IFERROR(INDEX(Products!$C$2:$C$201,MATCH($B703,Products!$A$2:$A$201,0)),""))</f>
        <v/>
      </c>
      <c r="G703" s="17" t="str">
        <f aca="false">IF($B703="","",IFERROR(INDEX(Products!$D$2:$D$201,MATCH($B703,Products!$A$2:$A$201,0)),0))</f>
        <v/>
      </c>
      <c r="H703" s="17" t="str">
        <f aca="false">IF($B703="","",C703*G703*(1-D703))</f>
        <v/>
      </c>
      <c r="I703" s="17" t="str">
        <f aca="false">IF($B703="","",C703*IFERROR(INDEX(Products!$E$2:$E$201,MATCH($B703,Products!$A$2:$A$201,0)),0))</f>
        <v/>
      </c>
      <c r="J703" s="17" t="str">
        <f aca="false">IF($B703="","",H703-I703)</f>
        <v/>
      </c>
      <c r="K703" s="16" t="str">
        <f aca="false">IF($A703="","",DATE(YEAR($A703),MONTH($A703),1))</f>
        <v/>
      </c>
    </row>
    <row r="704" customFormat="false" ht="15" hidden="false" customHeight="false" outlineLevel="0" collapsed="false">
      <c r="A704" s="25"/>
      <c r="B704" s="19"/>
      <c r="C704" s="19"/>
      <c r="D704" s="26"/>
      <c r="E704" s="27" t="str">
        <f aca="false">IF($B704="","",IFERROR(INDEX(Products!$B$2:$B$201,MATCH($B704,Products!$A$2:$A$201,0)),"Unknown code"))</f>
        <v/>
      </c>
      <c r="F704" s="22" t="str">
        <f aca="false">IF($B704="","",IFERROR(INDEX(Products!$C$2:$C$201,MATCH($B704,Products!$A$2:$A$201,0)),""))</f>
        <v/>
      </c>
      <c r="G704" s="17" t="str">
        <f aca="false">IF($B704="","",IFERROR(INDEX(Products!$D$2:$D$201,MATCH($B704,Products!$A$2:$A$201,0)),0))</f>
        <v/>
      </c>
      <c r="H704" s="17" t="str">
        <f aca="false">IF($B704="","",C704*G704*(1-D704))</f>
        <v/>
      </c>
      <c r="I704" s="17" t="str">
        <f aca="false">IF($B704="","",C704*IFERROR(INDEX(Products!$E$2:$E$201,MATCH($B704,Products!$A$2:$A$201,0)),0))</f>
        <v/>
      </c>
      <c r="J704" s="17" t="str">
        <f aca="false">IF($B704="","",H704-I704)</f>
        <v/>
      </c>
      <c r="K704" s="16" t="str">
        <f aca="false">IF($A704="","",DATE(YEAR($A704),MONTH($A704),1))</f>
        <v/>
      </c>
    </row>
    <row r="705" customFormat="false" ht="15" hidden="false" customHeight="false" outlineLevel="0" collapsed="false">
      <c r="A705" s="25"/>
      <c r="B705" s="19"/>
      <c r="C705" s="19"/>
      <c r="D705" s="26"/>
      <c r="E705" s="27" t="str">
        <f aca="false">IF($B705="","",IFERROR(INDEX(Products!$B$2:$B$201,MATCH($B705,Products!$A$2:$A$201,0)),"Unknown code"))</f>
        <v/>
      </c>
      <c r="F705" s="22" t="str">
        <f aca="false">IF($B705="","",IFERROR(INDEX(Products!$C$2:$C$201,MATCH($B705,Products!$A$2:$A$201,0)),""))</f>
        <v/>
      </c>
      <c r="G705" s="17" t="str">
        <f aca="false">IF($B705="","",IFERROR(INDEX(Products!$D$2:$D$201,MATCH($B705,Products!$A$2:$A$201,0)),0))</f>
        <v/>
      </c>
      <c r="H705" s="17" t="str">
        <f aca="false">IF($B705="","",C705*G705*(1-D705))</f>
        <v/>
      </c>
      <c r="I705" s="17" t="str">
        <f aca="false">IF($B705="","",C705*IFERROR(INDEX(Products!$E$2:$E$201,MATCH($B705,Products!$A$2:$A$201,0)),0))</f>
        <v/>
      </c>
      <c r="J705" s="17" t="str">
        <f aca="false">IF($B705="","",H705-I705)</f>
        <v/>
      </c>
      <c r="K705" s="16" t="str">
        <f aca="false">IF($A705="","",DATE(YEAR($A705),MONTH($A705),1))</f>
        <v/>
      </c>
    </row>
    <row r="706" customFormat="false" ht="15" hidden="false" customHeight="false" outlineLevel="0" collapsed="false">
      <c r="A706" s="25"/>
      <c r="B706" s="19"/>
      <c r="C706" s="19"/>
      <c r="D706" s="26"/>
      <c r="E706" s="27" t="str">
        <f aca="false">IF($B706="","",IFERROR(INDEX(Products!$B$2:$B$201,MATCH($B706,Products!$A$2:$A$201,0)),"Unknown code"))</f>
        <v/>
      </c>
      <c r="F706" s="22" t="str">
        <f aca="false">IF($B706="","",IFERROR(INDEX(Products!$C$2:$C$201,MATCH($B706,Products!$A$2:$A$201,0)),""))</f>
        <v/>
      </c>
      <c r="G706" s="17" t="str">
        <f aca="false">IF($B706="","",IFERROR(INDEX(Products!$D$2:$D$201,MATCH($B706,Products!$A$2:$A$201,0)),0))</f>
        <v/>
      </c>
      <c r="H706" s="17" t="str">
        <f aca="false">IF($B706="","",C706*G706*(1-D706))</f>
        <v/>
      </c>
      <c r="I706" s="17" t="str">
        <f aca="false">IF($B706="","",C706*IFERROR(INDEX(Products!$E$2:$E$201,MATCH($B706,Products!$A$2:$A$201,0)),0))</f>
        <v/>
      </c>
      <c r="J706" s="17" t="str">
        <f aca="false">IF($B706="","",H706-I706)</f>
        <v/>
      </c>
      <c r="K706" s="16" t="str">
        <f aca="false">IF($A706="","",DATE(YEAR($A706),MONTH($A706),1))</f>
        <v/>
      </c>
    </row>
    <row r="707" customFormat="false" ht="15" hidden="false" customHeight="false" outlineLevel="0" collapsed="false">
      <c r="A707" s="25"/>
      <c r="B707" s="19"/>
      <c r="C707" s="19"/>
      <c r="D707" s="26"/>
      <c r="E707" s="27" t="str">
        <f aca="false">IF($B707="","",IFERROR(INDEX(Products!$B$2:$B$201,MATCH($B707,Products!$A$2:$A$201,0)),"Unknown code"))</f>
        <v/>
      </c>
      <c r="F707" s="22" t="str">
        <f aca="false">IF($B707="","",IFERROR(INDEX(Products!$C$2:$C$201,MATCH($B707,Products!$A$2:$A$201,0)),""))</f>
        <v/>
      </c>
      <c r="G707" s="17" t="str">
        <f aca="false">IF($B707="","",IFERROR(INDEX(Products!$D$2:$D$201,MATCH($B707,Products!$A$2:$A$201,0)),0))</f>
        <v/>
      </c>
      <c r="H707" s="17" t="str">
        <f aca="false">IF($B707="","",C707*G707*(1-D707))</f>
        <v/>
      </c>
      <c r="I707" s="17" t="str">
        <f aca="false">IF($B707="","",C707*IFERROR(INDEX(Products!$E$2:$E$201,MATCH($B707,Products!$A$2:$A$201,0)),0))</f>
        <v/>
      </c>
      <c r="J707" s="17" t="str">
        <f aca="false">IF($B707="","",H707-I707)</f>
        <v/>
      </c>
      <c r="K707" s="16" t="str">
        <f aca="false">IF($A707="","",DATE(YEAR($A707),MONTH($A707),1))</f>
        <v/>
      </c>
    </row>
    <row r="708" customFormat="false" ht="15" hidden="false" customHeight="false" outlineLevel="0" collapsed="false">
      <c r="A708" s="25"/>
      <c r="B708" s="19"/>
      <c r="C708" s="19"/>
      <c r="D708" s="26"/>
      <c r="E708" s="27" t="str">
        <f aca="false">IF($B708="","",IFERROR(INDEX(Products!$B$2:$B$201,MATCH($B708,Products!$A$2:$A$201,0)),"Unknown code"))</f>
        <v/>
      </c>
      <c r="F708" s="22" t="str">
        <f aca="false">IF($B708="","",IFERROR(INDEX(Products!$C$2:$C$201,MATCH($B708,Products!$A$2:$A$201,0)),""))</f>
        <v/>
      </c>
      <c r="G708" s="17" t="str">
        <f aca="false">IF($B708="","",IFERROR(INDEX(Products!$D$2:$D$201,MATCH($B708,Products!$A$2:$A$201,0)),0))</f>
        <v/>
      </c>
      <c r="H708" s="17" t="str">
        <f aca="false">IF($B708="","",C708*G708*(1-D708))</f>
        <v/>
      </c>
      <c r="I708" s="17" t="str">
        <f aca="false">IF($B708="","",C708*IFERROR(INDEX(Products!$E$2:$E$201,MATCH($B708,Products!$A$2:$A$201,0)),0))</f>
        <v/>
      </c>
      <c r="J708" s="17" t="str">
        <f aca="false">IF($B708="","",H708-I708)</f>
        <v/>
      </c>
      <c r="K708" s="16" t="str">
        <f aca="false">IF($A708="","",DATE(YEAR($A708),MONTH($A708),1))</f>
        <v/>
      </c>
    </row>
    <row r="709" customFormat="false" ht="15" hidden="false" customHeight="false" outlineLevel="0" collapsed="false">
      <c r="A709" s="25"/>
      <c r="B709" s="19"/>
      <c r="C709" s="19"/>
      <c r="D709" s="26"/>
      <c r="E709" s="27" t="str">
        <f aca="false">IF($B709="","",IFERROR(INDEX(Products!$B$2:$B$201,MATCH($B709,Products!$A$2:$A$201,0)),"Unknown code"))</f>
        <v/>
      </c>
      <c r="F709" s="22" t="str">
        <f aca="false">IF($B709="","",IFERROR(INDEX(Products!$C$2:$C$201,MATCH($B709,Products!$A$2:$A$201,0)),""))</f>
        <v/>
      </c>
      <c r="G709" s="17" t="str">
        <f aca="false">IF($B709="","",IFERROR(INDEX(Products!$D$2:$D$201,MATCH($B709,Products!$A$2:$A$201,0)),0))</f>
        <v/>
      </c>
      <c r="H709" s="17" t="str">
        <f aca="false">IF($B709="","",C709*G709*(1-D709))</f>
        <v/>
      </c>
      <c r="I709" s="17" t="str">
        <f aca="false">IF($B709="","",C709*IFERROR(INDEX(Products!$E$2:$E$201,MATCH($B709,Products!$A$2:$A$201,0)),0))</f>
        <v/>
      </c>
      <c r="J709" s="17" t="str">
        <f aca="false">IF($B709="","",H709-I709)</f>
        <v/>
      </c>
      <c r="K709" s="16" t="str">
        <f aca="false">IF($A709="","",DATE(YEAR($A709),MONTH($A709),1))</f>
        <v/>
      </c>
    </row>
    <row r="710" customFormat="false" ht="15" hidden="false" customHeight="false" outlineLevel="0" collapsed="false">
      <c r="A710" s="25"/>
      <c r="B710" s="19"/>
      <c r="C710" s="19"/>
      <c r="D710" s="26"/>
      <c r="E710" s="27" t="str">
        <f aca="false">IF($B710="","",IFERROR(INDEX(Products!$B$2:$B$201,MATCH($B710,Products!$A$2:$A$201,0)),"Unknown code"))</f>
        <v/>
      </c>
      <c r="F710" s="22" t="str">
        <f aca="false">IF($B710="","",IFERROR(INDEX(Products!$C$2:$C$201,MATCH($B710,Products!$A$2:$A$201,0)),""))</f>
        <v/>
      </c>
      <c r="G710" s="17" t="str">
        <f aca="false">IF($B710="","",IFERROR(INDEX(Products!$D$2:$D$201,MATCH($B710,Products!$A$2:$A$201,0)),0))</f>
        <v/>
      </c>
      <c r="H710" s="17" t="str">
        <f aca="false">IF($B710="","",C710*G710*(1-D710))</f>
        <v/>
      </c>
      <c r="I710" s="17" t="str">
        <f aca="false">IF($B710="","",C710*IFERROR(INDEX(Products!$E$2:$E$201,MATCH($B710,Products!$A$2:$A$201,0)),0))</f>
        <v/>
      </c>
      <c r="J710" s="17" t="str">
        <f aca="false">IF($B710="","",H710-I710)</f>
        <v/>
      </c>
      <c r="K710" s="16" t="str">
        <f aca="false">IF($A710="","",DATE(YEAR($A710),MONTH($A710),1))</f>
        <v/>
      </c>
    </row>
    <row r="711" customFormat="false" ht="15" hidden="false" customHeight="false" outlineLevel="0" collapsed="false">
      <c r="A711" s="25"/>
      <c r="B711" s="19"/>
      <c r="C711" s="19"/>
      <c r="D711" s="26"/>
      <c r="E711" s="27" t="str">
        <f aca="false">IF($B711="","",IFERROR(INDEX(Products!$B$2:$B$201,MATCH($B711,Products!$A$2:$A$201,0)),"Unknown code"))</f>
        <v/>
      </c>
      <c r="F711" s="22" t="str">
        <f aca="false">IF($B711="","",IFERROR(INDEX(Products!$C$2:$C$201,MATCH($B711,Products!$A$2:$A$201,0)),""))</f>
        <v/>
      </c>
      <c r="G711" s="17" t="str">
        <f aca="false">IF($B711="","",IFERROR(INDEX(Products!$D$2:$D$201,MATCH($B711,Products!$A$2:$A$201,0)),0))</f>
        <v/>
      </c>
      <c r="H711" s="17" t="str">
        <f aca="false">IF($B711="","",C711*G711*(1-D711))</f>
        <v/>
      </c>
      <c r="I711" s="17" t="str">
        <f aca="false">IF($B711="","",C711*IFERROR(INDEX(Products!$E$2:$E$201,MATCH($B711,Products!$A$2:$A$201,0)),0))</f>
        <v/>
      </c>
      <c r="J711" s="17" t="str">
        <f aca="false">IF($B711="","",H711-I711)</f>
        <v/>
      </c>
      <c r="K711" s="16" t="str">
        <f aca="false">IF($A711="","",DATE(YEAR($A711),MONTH($A711),1))</f>
        <v/>
      </c>
    </row>
    <row r="712" customFormat="false" ht="15" hidden="false" customHeight="false" outlineLevel="0" collapsed="false">
      <c r="A712" s="25"/>
      <c r="B712" s="19"/>
      <c r="C712" s="19"/>
      <c r="D712" s="26"/>
      <c r="E712" s="27" t="str">
        <f aca="false">IF($B712="","",IFERROR(INDEX(Products!$B$2:$B$201,MATCH($B712,Products!$A$2:$A$201,0)),"Unknown code"))</f>
        <v/>
      </c>
      <c r="F712" s="22" t="str">
        <f aca="false">IF($B712="","",IFERROR(INDEX(Products!$C$2:$C$201,MATCH($B712,Products!$A$2:$A$201,0)),""))</f>
        <v/>
      </c>
      <c r="G712" s="17" t="str">
        <f aca="false">IF($B712="","",IFERROR(INDEX(Products!$D$2:$D$201,MATCH($B712,Products!$A$2:$A$201,0)),0))</f>
        <v/>
      </c>
      <c r="H712" s="17" t="str">
        <f aca="false">IF($B712="","",C712*G712*(1-D712))</f>
        <v/>
      </c>
      <c r="I712" s="17" t="str">
        <f aca="false">IF($B712="","",C712*IFERROR(INDEX(Products!$E$2:$E$201,MATCH($B712,Products!$A$2:$A$201,0)),0))</f>
        <v/>
      </c>
      <c r="J712" s="17" t="str">
        <f aca="false">IF($B712="","",H712-I712)</f>
        <v/>
      </c>
      <c r="K712" s="16" t="str">
        <f aca="false">IF($A712="","",DATE(YEAR($A712),MONTH($A712),1))</f>
        <v/>
      </c>
    </row>
    <row r="713" customFormat="false" ht="15" hidden="false" customHeight="false" outlineLevel="0" collapsed="false">
      <c r="A713" s="25"/>
      <c r="B713" s="19"/>
      <c r="C713" s="19"/>
      <c r="D713" s="26"/>
      <c r="E713" s="27" t="str">
        <f aca="false">IF($B713="","",IFERROR(INDEX(Products!$B$2:$B$201,MATCH($B713,Products!$A$2:$A$201,0)),"Unknown code"))</f>
        <v/>
      </c>
      <c r="F713" s="22" t="str">
        <f aca="false">IF($B713="","",IFERROR(INDEX(Products!$C$2:$C$201,MATCH($B713,Products!$A$2:$A$201,0)),""))</f>
        <v/>
      </c>
      <c r="G713" s="17" t="str">
        <f aca="false">IF($B713="","",IFERROR(INDEX(Products!$D$2:$D$201,MATCH($B713,Products!$A$2:$A$201,0)),0))</f>
        <v/>
      </c>
      <c r="H713" s="17" t="str">
        <f aca="false">IF($B713="","",C713*G713*(1-D713))</f>
        <v/>
      </c>
      <c r="I713" s="17" t="str">
        <f aca="false">IF($B713="","",C713*IFERROR(INDEX(Products!$E$2:$E$201,MATCH($B713,Products!$A$2:$A$201,0)),0))</f>
        <v/>
      </c>
      <c r="J713" s="17" t="str">
        <f aca="false">IF($B713="","",H713-I713)</f>
        <v/>
      </c>
      <c r="K713" s="16" t="str">
        <f aca="false">IF($A713="","",DATE(YEAR($A713),MONTH($A713),1))</f>
        <v/>
      </c>
    </row>
    <row r="714" customFormat="false" ht="15" hidden="false" customHeight="false" outlineLevel="0" collapsed="false">
      <c r="A714" s="25"/>
      <c r="B714" s="19"/>
      <c r="C714" s="19"/>
      <c r="D714" s="26"/>
      <c r="E714" s="27" t="str">
        <f aca="false">IF($B714="","",IFERROR(INDEX(Products!$B$2:$B$201,MATCH($B714,Products!$A$2:$A$201,0)),"Unknown code"))</f>
        <v/>
      </c>
      <c r="F714" s="22" t="str">
        <f aca="false">IF($B714="","",IFERROR(INDEX(Products!$C$2:$C$201,MATCH($B714,Products!$A$2:$A$201,0)),""))</f>
        <v/>
      </c>
      <c r="G714" s="17" t="str">
        <f aca="false">IF($B714="","",IFERROR(INDEX(Products!$D$2:$D$201,MATCH($B714,Products!$A$2:$A$201,0)),0))</f>
        <v/>
      </c>
      <c r="H714" s="17" t="str">
        <f aca="false">IF($B714="","",C714*G714*(1-D714))</f>
        <v/>
      </c>
      <c r="I714" s="17" t="str">
        <f aca="false">IF($B714="","",C714*IFERROR(INDEX(Products!$E$2:$E$201,MATCH($B714,Products!$A$2:$A$201,0)),0))</f>
        <v/>
      </c>
      <c r="J714" s="17" t="str">
        <f aca="false">IF($B714="","",H714-I714)</f>
        <v/>
      </c>
      <c r="K714" s="16" t="str">
        <f aca="false">IF($A714="","",DATE(YEAR($A714),MONTH($A714),1))</f>
        <v/>
      </c>
    </row>
    <row r="715" customFormat="false" ht="15" hidden="false" customHeight="false" outlineLevel="0" collapsed="false">
      <c r="A715" s="25"/>
      <c r="B715" s="19"/>
      <c r="C715" s="19"/>
      <c r="D715" s="26"/>
      <c r="E715" s="27" t="str">
        <f aca="false">IF($B715="","",IFERROR(INDEX(Products!$B$2:$B$201,MATCH($B715,Products!$A$2:$A$201,0)),"Unknown code"))</f>
        <v/>
      </c>
      <c r="F715" s="22" t="str">
        <f aca="false">IF($B715="","",IFERROR(INDEX(Products!$C$2:$C$201,MATCH($B715,Products!$A$2:$A$201,0)),""))</f>
        <v/>
      </c>
      <c r="G715" s="17" t="str">
        <f aca="false">IF($B715="","",IFERROR(INDEX(Products!$D$2:$D$201,MATCH($B715,Products!$A$2:$A$201,0)),0))</f>
        <v/>
      </c>
      <c r="H715" s="17" t="str">
        <f aca="false">IF($B715="","",C715*G715*(1-D715))</f>
        <v/>
      </c>
      <c r="I715" s="17" t="str">
        <f aca="false">IF($B715="","",C715*IFERROR(INDEX(Products!$E$2:$E$201,MATCH($B715,Products!$A$2:$A$201,0)),0))</f>
        <v/>
      </c>
      <c r="J715" s="17" t="str">
        <f aca="false">IF($B715="","",H715-I715)</f>
        <v/>
      </c>
      <c r="K715" s="16" t="str">
        <f aca="false">IF($A715="","",DATE(YEAR($A715),MONTH($A715),1))</f>
        <v/>
      </c>
    </row>
    <row r="716" customFormat="false" ht="15" hidden="false" customHeight="false" outlineLevel="0" collapsed="false">
      <c r="A716" s="25"/>
      <c r="B716" s="19"/>
      <c r="C716" s="19"/>
      <c r="D716" s="26"/>
      <c r="E716" s="27" t="str">
        <f aca="false">IF($B716="","",IFERROR(INDEX(Products!$B$2:$B$201,MATCH($B716,Products!$A$2:$A$201,0)),"Unknown code"))</f>
        <v/>
      </c>
      <c r="F716" s="22" t="str">
        <f aca="false">IF($B716="","",IFERROR(INDEX(Products!$C$2:$C$201,MATCH($B716,Products!$A$2:$A$201,0)),""))</f>
        <v/>
      </c>
      <c r="G716" s="17" t="str">
        <f aca="false">IF($B716="","",IFERROR(INDEX(Products!$D$2:$D$201,MATCH($B716,Products!$A$2:$A$201,0)),0))</f>
        <v/>
      </c>
      <c r="H716" s="17" t="str">
        <f aca="false">IF($B716="","",C716*G716*(1-D716))</f>
        <v/>
      </c>
      <c r="I716" s="17" t="str">
        <f aca="false">IF($B716="","",C716*IFERROR(INDEX(Products!$E$2:$E$201,MATCH($B716,Products!$A$2:$A$201,0)),0))</f>
        <v/>
      </c>
      <c r="J716" s="17" t="str">
        <f aca="false">IF($B716="","",H716-I716)</f>
        <v/>
      </c>
      <c r="K716" s="16" t="str">
        <f aca="false">IF($A716="","",DATE(YEAR($A716),MONTH($A716),1))</f>
        <v/>
      </c>
    </row>
    <row r="717" customFormat="false" ht="15" hidden="false" customHeight="false" outlineLevel="0" collapsed="false">
      <c r="A717" s="25"/>
      <c r="B717" s="19"/>
      <c r="C717" s="19"/>
      <c r="D717" s="26"/>
      <c r="E717" s="27" t="str">
        <f aca="false">IF($B717="","",IFERROR(INDEX(Products!$B$2:$B$201,MATCH($B717,Products!$A$2:$A$201,0)),"Unknown code"))</f>
        <v/>
      </c>
      <c r="F717" s="22" t="str">
        <f aca="false">IF($B717="","",IFERROR(INDEX(Products!$C$2:$C$201,MATCH($B717,Products!$A$2:$A$201,0)),""))</f>
        <v/>
      </c>
      <c r="G717" s="17" t="str">
        <f aca="false">IF($B717="","",IFERROR(INDEX(Products!$D$2:$D$201,MATCH($B717,Products!$A$2:$A$201,0)),0))</f>
        <v/>
      </c>
      <c r="H717" s="17" t="str">
        <f aca="false">IF($B717="","",C717*G717*(1-D717))</f>
        <v/>
      </c>
      <c r="I717" s="17" t="str">
        <f aca="false">IF($B717="","",C717*IFERROR(INDEX(Products!$E$2:$E$201,MATCH($B717,Products!$A$2:$A$201,0)),0))</f>
        <v/>
      </c>
      <c r="J717" s="17" t="str">
        <f aca="false">IF($B717="","",H717-I717)</f>
        <v/>
      </c>
      <c r="K717" s="16" t="str">
        <f aca="false">IF($A717="","",DATE(YEAR($A717),MONTH($A717),1))</f>
        <v/>
      </c>
    </row>
    <row r="718" customFormat="false" ht="15" hidden="false" customHeight="false" outlineLevel="0" collapsed="false">
      <c r="A718" s="25"/>
      <c r="B718" s="19"/>
      <c r="C718" s="19"/>
      <c r="D718" s="26"/>
      <c r="E718" s="27" t="str">
        <f aca="false">IF($B718="","",IFERROR(INDEX(Products!$B$2:$B$201,MATCH($B718,Products!$A$2:$A$201,0)),"Unknown code"))</f>
        <v/>
      </c>
      <c r="F718" s="22" t="str">
        <f aca="false">IF($B718="","",IFERROR(INDEX(Products!$C$2:$C$201,MATCH($B718,Products!$A$2:$A$201,0)),""))</f>
        <v/>
      </c>
      <c r="G718" s="17" t="str">
        <f aca="false">IF($B718="","",IFERROR(INDEX(Products!$D$2:$D$201,MATCH($B718,Products!$A$2:$A$201,0)),0))</f>
        <v/>
      </c>
      <c r="H718" s="17" t="str">
        <f aca="false">IF($B718="","",C718*G718*(1-D718))</f>
        <v/>
      </c>
      <c r="I718" s="17" t="str">
        <f aca="false">IF($B718="","",C718*IFERROR(INDEX(Products!$E$2:$E$201,MATCH($B718,Products!$A$2:$A$201,0)),0))</f>
        <v/>
      </c>
      <c r="J718" s="17" t="str">
        <f aca="false">IF($B718="","",H718-I718)</f>
        <v/>
      </c>
      <c r="K718" s="16" t="str">
        <f aca="false">IF($A718="","",DATE(YEAR($A718),MONTH($A718),1))</f>
        <v/>
      </c>
    </row>
    <row r="719" customFormat="false" ht="15" hidden="false" customHeight="false" outlineLevel="0" collapsed="false">
      <c r="A719" s="25"/>
      <c r="B719" s="19"/>
      <c r="C719" s="19"/>
      <c r="D719" s="26"/>
      <c r="E719" s="27" t="str">
        <f aca="false">IF($B719="","",IFERROR(INDEX(Products!$B$2:$B$201,MATCH($B719,Products!$A$2:$A$201,0)),"Unknown code"))</f>
        <v/>
      </c>
      <c r="F719" s="22" t="str">
        <f aca="false">IF($B719="","",IFERROR(INDEX(Products!$C$2:$C$201,MATCH($B719,Products!$A$2:$A$201,0)),""))</f>
        <v/>
      </c>
      <c r="G719" s="17" t="str">
        <f aca="false">IF($B719="","",IFERROR(INDEX(Products!$D$2:$D$201,MATCH($B719,Products!$A$2:$A$201,0)),0))</f>
        <v/>
      </c>
      <c r="H719" s="17" t="str">
        <f aca="false">IF($B719="","",C719*G719*(1-D719))</f>
        <v/>
      </c>
      <c r="I719" s="17" t="str">
        <f aca="false">IF($B719="","",C719*IFERROR(INDEX(Products!$E$2:$E$201,MATCH($B719,Products!$A$2:$A$201,0)),0))</f>
        <v/>
      </c>
      <c r="J719" s="17" t="str">
        <f aca="false">IF($B719="","",H719-I719)</f>
        <v/>
      </c>
      <c r="K719" s="16" t="str">
        <f aca="false">IF($A719="","",DATE(YEAR($A719),MONTH($A719),1))</f>
        <v/>
      </c>
    </row>
    <row r="720" customFormat="false" ht="15" hidden="false" customHeight="false" outlineLevel="0" collapsed="false">
      <c r="A720" s="25"/>
      <c r="B720" s="19"/>
      <c r="C720" s="19"/>
      <c r="D720" s="26"/>
      <c r="E720" s="27" t="str">
        <f aca="false">IF($B720="","",IFERROR(INDEX(Products!$B$2:$B$201,MATCH($B720,Products!$A$2:$A$201,0)),"Unknown code"))</f>
        <v/>
      </c>
      <c r="F720" s="22" t="str">
        <f aca="false">IF($B720="","",IFERROR(INDEX(Products!$C$2:$C$201,MATCH($B720,Products!$A$2:$A$201,0)),""))</f>
        <v/>
      </c>
      <c r="G720" s="17" t="str">
        <f aca="false">IF($B720="","",IFERROR(INDEX(Products!$D$2:$D$201,MATCH($B720,Products!$A$2:$A$201,0)),0))</f>
        <v/>
      </c>
      <c r="H720" s="17" t="str">
        <f aca="false">IF($B720="","",C720*G720*(1-D720))</f>
        <v/>
      </c>
      <c r="I720" s="17" t="str">
        <f aca="false">IF($B720="","",C720*IFERROR(INDEX(Products!$E$2:$E$201,MATCH($B720,Products!$A$2:$A$201,0)),0))</f>
        <v/>
      </c>
      <c r="J720" s="17" t="str">
        <f aca="false">IF($B720="","",H720-I720)</f>
        <v/>
      </c>
      <c r="K720" s="16" t="str">
        <f aca="false">IF($A720="","",DATE(YEAR($A720),MONTH($A720),1))</f>
        <v/>
      </c>
    </row>
    <row r="721" customFormat="false" ht="15" hidden="false" customHeight="false" outlineLevel="0" collapsed="false">
      <c r="A721" s="25"/>
      <c r="B721" s="19"/>
      <c r="C721" s="19"/>
      <c r="D721" s="26"/>
      <c r="E721" s="27" t="str">
        <f aca="false">IF($B721="","",IFERROR(INDEX(Products!$B$2:$B$201,MATCH($B721,Products!$A$2:$A$201,0)),"Unknown code"))</f>
        <v/>
      </c>
      <c r="F721" s="22" t="str">
        <f aca="false">IF($B721="","",IFERROR(INDEX(Products!$C$2:$C$201,MATCH($B721,Products!$A$2:$A$201,0)),""))</f>
        <v/>
      </c>
      <c r="G721" s="17" t="str">
        <f aca="false">IF($B721="","",IFERROR(INDEX(Products!$D$2:$D$201,MATCH($B721,Products!$A$2:$A$201,0)),0))</f>
        <v/>
      </c>
      <c r="H721" s="17" t="str">
        <f aca="false">IF($B721="","",C721*G721*(1-D721))</f>
        <v/>
      </c>
      <c r="I721" s="17" t="str">
        <f aca="false">IF($B721="","",C721*IFERROR(INDEX(Products!$E$2:$E$201,MATCH($B721,Products!$A$2:$A$201,0)),0))</f>
        <v/>
      </c>
      <c r="J721" s="17" t="str">
        <f aca="false">IF($B721="","",H721-I721)</f>
        <v/>
      </c>
      <c r="K721" s="16" t="str">
        <f aca="false">IF($A721="","",DATE(YEAR($A721),MONTH($A721),1))</f>
        <v/>
      </c>
    </row>
    <row r="722" customFormat="false" ht="15" hidden="false" customHeight="false" outlineLevel="0" collapsed="false">
      <c r="A722" s="25"/>
      <c r="B722" s="19"/>
      <c r="C722" s="19"/>
      <c r="D722" s="26"/>
      <c r="E722" s="27" t="str">
        <f aca="false">IF($B722="","",IFERROR(INDEX(Products!$B$2:$B$201,MATCH($B722,Products!$A$2:$A$201,0)),"Unknown code"))</f>
        <v/>
      </c>
      <c r="F722" s="22" t="str">
        <f aca="false">IF($B722="","",IFERROR(INDEX(Products!$C$2:$C$201,MATCH($B722,Products!$A$2:$A$201,0)),""))</f>
        <v/>
      </c>
      <c r="G722" s="17" t="str">
        <f aca="false">IF($B722="","",IFERROR(INDEX(Products!$D$2:$D$201,MATCH($B722,Products!$A$2:$A$201,0)),0))</f>
        <v/>
      </c>
      <c r="H722" s="17" t="str">
        <f aca="false">IF($B722="","",C722*G722*(1-D722))</f>
        <v/>
      </c>
      <c r="I722" s="17" t="str">
        <f aca="false">IF($B722="","",C722*IFERROR(INDEX(Products!$E$2:$E$201,MATCH($B722,Products!$A$2:$A$201,0)),0))</f>
        <v/>
      </c>
      <c r="J722" s="17" t="str">
        <f aca="false">IF($B722="","",H722-I722)</f>
        <v/>
      </c>
      <c r="K722" s="16" t="str">
        <f aca="false">IF($A722="","",DATE(YEAR($A722),MONTH($A722),1))</f>
        <v/>
      </c>
    </row>
    <row r="723" customFormat="false" ht="15" hidden="false" customHeight="false" outlineLevel="0" collapsed="false">
      <c r="A723" s="25"/>
      <c r="B723" s="19"/>
      <c r="C723" s="19"/>
      <c r="D723" s="26"/>
      <c r="E723" s="27" t="str">
        <f aca="false">IF($B723="","",IFERROR(INDEX(Products!$B$2:$B$201,MATCH($B723,Products!$A$2:$A$201,0)),"Unknown code"))</f>
        <v/>
      </c>
      <c r="F723" s="22" t="str">
        <f aca="false">IF($B723="","",IFERROR(INDEX(Products!$C$2:$C$201,MATCH($B723,Products!$A$2:$A$201,0)),""))</f>
        <v/>
      </c>
      <c r="G723" s="17" t="str">
        <f aca="false">IF($B723="","",IFERROR(INDEX(Products!$D$2:$D$201,MATCH($B723,Products!$A$2:$A$201,0)),0))</f>
        <v/>
      </c>
      <c r="H723" s="17" t="str">
        <f aca="false">IF($B723="","",C723*G723*(1-D723))</f>
        <v/>
      </c>
      <c r="I723" s="17" t="str">
        <f aca="false">IF($B723="","",C723*IFERROR(INDEX(Products!$E$2:$E$201,MATCH($B723,Products!$A$2:$A$201,0)),0))</f>
        <v/>
      </c>
      <c r="J723" s="17" t="str">
        <f aca="false">IF($B723="","",H723-I723)</f>
        <v/>
      </c>
      <c r="K723" s="16" t="str">
        <f aca="false">IF($A723="","",DATE(YEAR($A723),MONTH($A723),1))</f>
        <v/>
      </c>
    </row>
    <row r="724" customFormat="false" ht="15" hidden="false" customHeight="false" outlineLevel="0" collapsed="false">
      <c r="A724" s="25"/>
      <c r="B724" s="19"/>
      <c r="C724" s="19"/>
      <c r="D724" s="26"/>
      <c r="E724" s="27" t="str">
        <f aca="false">IF($B724="","",IFERROR(INDEX(Products!$B$2:$B$201,MATCH($B724,Products!$A$2:$A$201,0)),"Unknown code"))</f>
        <v/>
      </c>
      <c r="F724" s="22" t="str">
        <f aca="false">IF($B724="","",IFERROR(INDEX(Products!$C$2:$C$201,MATCH($B724,Products!$A$2:$A$201,0)),""))</f>
        <v/>
      </c>
      <c r="G724" s="17" t="str">
        <f aca="false">IF($B724="","",IFERROR(INDEX(Products!$D$2:$D$201,MATCH($B724,Products!$A$2:$A$201,0)),0))</f>
        <v/>
      </c>
      <c r="H724" s="17" t="str">
        <f aca="false">IF($B724="","",C724*G724*(1-D724))</f>
        <v/>
      </c>
      <c r="I724" s="17" t="str">
        <f aca="false">IF($B724="","",C724*IFERROR(INDEX(Products!$E$2:$E$201,MATCH($B724,Products!$A$2:$A$201,0)),0))</f>
        <v/>
      </c>
      <c r="J724" s="17" t="str">
        <f aca="false">IF($B724="","",H724-I724)</f>
        <v/>
      </c>
      <c r="K724" s="16" t="str">
        <f aca="false">IF($A724="","",DATE(YEAR($A724),MONTH($A724),1))</f>
        <v/>
      </c>
    </row>
    <row r="725" customFormat="false" ht="15" hidden="false" customHeight="false" outlineLevel="0" collapsed="false">
      <c r="A725" s="25"/>
      <c r="B725" s="19"/>
      <c r="C725" s="19"/>
      <c r="D725" s="26"/>
      <c r="E725" s="27" t="str">
        <f aca="false">IF($B725="","",IFERROR(INDEX(Products!$B$2:$B$201,MATCH($B725,Products!$A$2:$A$201,0)),"Unknown code"))</f>
        <v/>
      </c>
      <c r="F725" s="22" t="str">
        <f aca="false">IF($B725="","",IFERROR(INDEX(Products!$C$2:$C$201,MATCH($B725,Products!$A$2:$A$201,0)),""))</f>
        <v/>
      </c>
      <c r="G725" s="17" t="str">
        <f aca="false">IF($B725="","",IFERROR(INDEX(Products!$D$2:$D$201,MATCH($B725,Products!$A$2:$A$201,0)),0))</f>
        <v/>
      </c>
      <c r="H725" s="17" t="str">
        <f aca="false">IF($B725="","",C725*G725*(1-D725))</f>
        <v/>
      </c>
      <c r="I725" s="17" t="str">
        <f aca="false">IF($B725="","",C725*IFERROR(INDEX(Products!$E$2:$E$201,MATCH($B725,Products!$A$2:$A$201,0)),0))</f>
        <v/>
      </c>
      <c r="J725" s="17" t="str">
        <f aca="false">IF($B725="","",H725-I725)</f>
        <v/>
      </c>
      <c r="K725" s="16" t="str">
        <f aca="false">IF($A725="","",DATE(YEAR($A725),MONTH($A725),1))</f>
        <v/>
      </c>
    </row>
    <row r="726" customFormat="false" ht="15" hidden="false" customHeight="false" outlineLevel="0" collapsed="false">
      <c r="A726" s="25"/>
      <c r="B726" s="19"/>
      <c r="C726" s="19"/>
      <c r="D726" s="26"/>
      <c r="E726" s="27" t="str">
        <f aca="false">IF($B726="","",IFERROR(INDEX(Products!$B$2:$B$201,MATCH($B726,Products!$A$2:$A$201,0)),"Unknown code"))</f>
        <v/>
      </c>
      <c r="F726" s="22" t="str">
        <f aca="false">IF($B726="","",IFERROR(INDEX(Products!$C$2:$C$201,MATCH($B726,Products!$A$2:$A$201,0)),""))</f>
        <v/>
      </c>
      <c r="G726" s="17" t="str">
        <f aca="false">IF($B726="","",IFERROR(INDEX(Products!$D$2:$D$201,MATCH($B726,Products!$A$2:$A$201,0)),0))</f>
        <v/>
      </c>
      <c r="H726" s="17" t="str">
        <f aca="false">IF($B726="","",C726*G726*(1-D726))</f>
        <v/>
      </c>
      <c r="I726" s="17" t="str">
        <f aca="false">IF($B726="","",C726*IFERROR(INDEX(Products!$E$2:$E$201,MATCH($B726,Products!$A$2:$A$201,0)),0))</f>
        <v/>
      </c>
      <c r="J726" s="17" t="str">
        <f aca="false">IF($B726="","",H726-I726)</f>
        <v/>
      </c>
      <c r="K726" s="16" t="str">
        <f aca="false">IF($A726="","",DATE(YEAR($A726),MONTH($A726),1))</f>
        <v/>
      </c>
    </row>
    <row r="727" customFormat="false" ht="15" hidden="false" customHeight="false" outlineLevel="0" collapsed="false">
      <c r="A727" s="25"/>
      <c r="B727" s="19"/>
      <c r="C727" s="19"/>
      <c r="D727" s="26"/>
      <c r="E727" s="27" t="str">
        <f aca="false">IF($B727="","",IFERROR(INDEX(Products!$B$2:$B$201,MATCH($B727,Products!$A$2:$A$201,0)),"Unknown code"))</f>
        <v/>
      </c>
      <c r="F727" s="22" t="str">
        <f aca="false">IF($B727="","",IFERROR(INDEX(Products!$C$2:$C$201,MATCH($B727,Products!$A$2:$A$201,0)),""))</f>
        <v/>
      </c>
      <c r="G727" s="17" t="str">
        <f aca="false">IF($B727="","",IFERROR(INDEX(Products!$D$2:$D$201,MATCH($B727,Products!$A$2:$A$201,0)),0))</f>
        <v/>
      </c>
      <c r="H727" s="17" t="str">
        <f aca="false">IF($B727="","",C727*G727*(1-D727))</f>
        <v/>
      </c>
      <c r="I727" s="17" t="str">
        <f aca="false">IF($B727="","",C727*IFERROR(INDEX(Products!$E$2:$E$201,MATCH($B727,Products!$A$2:$A$201,0)),0))</f>
        <v/>
      </c>
      <c r="J727" s="17" t="str">
        <f aca="false">IF($B727="","",H727-I727)</f>
        <v/>
      </c>
      <c r="K727" s="16" t="str">
        <f aca="false">IF($A727="","",DATE(YEAR($A727),MONTH($A727),1))</f>
        <v/>
      </c>
    </row>
    <row r="728" customFormat="false" ht="15" hidden="false" customHeight="false" outlineLevel="0" collapsed="false">
      <c r="A728" s="25"/>
      <c r="B728" s="19"/>
      <c r="C728" s="19"/>
      <c r="D728" s="26"/>
      <c r="E728" s="27" t="str">
        <f aca="false">IF($B728="","",IFERROR(INDEX(Products!$B$2:$B$201,MATCH($B728,Products!$A$2:$A$201,0)),"Unknown code"))</f>
        <v/>
      </c>
      <c r="F728" s="22" t="str">
        <f aca="false">IF($B728="","",IFERROR(INDEX(Products!$C$2:$C$201,MATCH($B728,Products!$A$2:$A$201,0)),""))</f>
        <v/>
      </c>
      <c r="G728" s="17" t="str">
        <f aca="false">IF($B728="","",IFERROR(INDEX(Products!$D$2:$D$201,MATCH($B728,Products!$A$2:$A$201,0)),0))</f>
        <v/>
      </c>
      <c r="H728" s="17" t="str">
        <f aca="false">IF($B728="","",C728*G728*(1-D728))</f>
        <v/>
      </c>
      <c r="I728" s="17" t="str">
        <f aca="false">IF($B728="","",C728*IFERROR(INDEX(Products!$E$2:$E$201,MATCH($B728,Products!$A$2:$A$201,0)),0))</f>
        <v/>
      </c>
      <c r="J728" s="17" t="str">
        <f aca="false">IF($B728="","",H728-I728)</f>
        <v/>
      </c>
      <c r="K728" s="16" t="str">
        <f aca="false">IF($A728="","",DATE(YEAR($A728),MONTH($A728),1))</f>
        <v/>
      </c>
    </row>
    <row r="729" customFormat="false" ht="15" hidden="false" customHeight="false" outlineLevel="0" collapsed="false">
      <c r="A729" s="25"/>
      <c r="B729" s="19"/>
      <c r="C729" s="19"/>
      <c r="D729" s="26"/>
      <c r="E729" s="27" t="str">
        <f aca="false">IF($B729="","",IFERROR(INDEX(Products!$B$2:$B$201,MATCH($B729,Products!$A$2:$A$201,0)),"Unknown code"))</f>
        <v/>
      </c>
      <c r="F729" s="22" t="str">
        <f aca="false">IF($B729="","",IFERROR(INDEX(Products!$C$2:$C$201,MATCH($B729,Products!$A$2:$A$201,0)),""))</f>
        <v/>
      </c>
      <c r="G729" s="17" t="str">
        <f aca="false">IF($B729="","",IFERROR(INDEX(Products!$D$2:$D$201,MATCH($B729,Products!$A$2:$A$201,0)),0))</f>
        <v/>
      </c>
      <c r="H729" s="17" t="str">
        <f aca="false">IF($B729="","",C729*G729*(1-D729))</f>
        <v/>
      </c>
      <c r="I729" s="17" t="str">
        <f aca="false">IF($B729="","",C729*IFERROR(INDEX(Products!$E$2:$E$201,MATCH($B729,Products!$A$2:$A$201,0)),0))</f>
        <v/>
      </c>
      <c r="J729" s="17" t="str">
        <f aca="false">IF($B729="","",H729-I729)</f>
        <v/>
      </c>
      <c r="K729" s="16" t="str">
        <f aca="false">IF($A729="","",DATE(YEAR($A729),MONTH($A729),1))</f>
        <v/>
      </c>
    </row>
    <row r="730" customFormat="false" ht="15" hidden="false" customHeight="false" outlineLevel="0" collapsed="false">
      <c r="A730" s="25"/>
      <c r="B730" s="19"/>
      <c r="C730" s="19"/>
      <c r="D730" s="26"/>
      <c r="E730" s="27" t="str">
        <f aca="false">IF($B730="","",IFERROR(INDEX(Products!$B$2:$B$201,MATCH($B730,Products!$A$2:$A$201,0)),"Unknown code"))</f>
        <v/>
      </c>
      <c r="F730" s="22" t="str">
        <f aca="false">IF($B730="","",IFERROR(INDEX(Products!$C$2:$C$201,MATCH($B730,Products!$A$2:$A$201,0)),""))</f>
        <v/>
      </c>
      <c r="G730" s="17" t="str">
        <f aca="false">IF($B730="","",IFERROR(INDEX(Products!$D$2:$D$201,MATCH($B730,Products!$A$2:$A$201,0)),0))</f>
        <v/>
      </c>
      <c r="H730" s="17" t="str">
        <f aca="false">IF($B730="","",C730*G730*(1-D730))</f>
        <v/>
      </c>
      <c r="I730" s="17" t="str">
        <f aca="false">IF($B730="","",C730*IFERROR(INDEX(Products!$E$2:$E$201,MATCH($B730,Products!$A$2:$A$201,0)),0))</f>
        <v/>
      </c>
      <c r="J730" s="17" t="str">
        <f aca="false">IF($B730="","",H730-I730)</f>
        <v/>
      </c>
      <c r="K730" s="16" t="str">
        <f aca="false">IF($A730="","",DATE(YEAR($A730),MONTH($A730),1))</f>
        <v/>
      </c>
    </row>
    <row r="731" customFormat="false" ht="15" hidden="false" customHeight="false" outlineLevel="0" collapsed="false">
      <c r="A731" s="25"/>
      <c r="B731" s="19"/>
      <c r="C731" s="19"/>
      <c r="D731" s="26"/>
      <c r="E731" s="27" t="str">
        <f aca="false">IF($B731="","",IFERROR(INDEX(Products!$B$2:$B$201,MATCH($B731,Products!$A$2:$A$201,0)),"Unknown code"))</f>
        <v/>
      </c>
      <c r="F731" s="22" t="str">
        <f aca="false">IF($B731="","",IFERROR(INDEX(Products!$C$2:$C$201,MATCH($B731,Products!$A$2:$A$201,0)),""))</f>
        <v/>
      </c>
      <c r="G731" s="17" t="str">
        <f aca="false">IF($B731="","",IFERROR(INDEX(Products!$D$2:$D$201,MATCH($B731,Products!$A$2:$A$201,0)),0))</f>
        <v/>
      </c>
      <c r="H731" s="17" t="str">
        <f aca="false">IF($B731="","",C731*G731*(1-D731))</f>
        <v/>
      </c>
      <c r="I731" s="17" t="str">
        <f aca="false">IF($B731="","",C731*IFERROR(INDEX(Products!$E$2:$E$201,MATCH($B731,Products!$A$2:$A$201,0)),0))</f>
        <v/>
      </c>
      <c r="J731" s="17" t="str">
        <f aca="false">IF($B731="","",H731-I731)</f>
        <v/>
      </c>
      <c r="K731" s="16" t="str">
        <f aca="false">IF($A731="","",DATE(YEAR($A731),MONTH($A731),1))</f>
        <v/>
      </c>
    </row>
    <row r="732" customFormat="false" ht="15" hidden="false" customHeight="false" outlineLevel="0" collapsed="false">
      <c r="A732" s="25"/>
      <c r="B732" s="19"/>
      <c r="C732" s="19"/>
      <c r="D732" s="26"/>
      <c r="E732" s="27" t="str">
        <f aca="false">IF($B732="","",IFERROR(INDEX(Products!$B$2:$B$201,MATCH($B732,Products!$A$2:$A$201,0)),"Unknown code"))</f>
        <v/>
      </c>
      <c r="F732" s="22" t="str">
        <f aca="false">IF($B732="","",IFERROR(INDEX(Products!$C$2:$C$201,MATCH($B732,Products!$A$2:$A$201,0)),""))</f>
        <v/>
      </c>
      <c r="G732" s="17" t="str">
        <f aca="false">IF($B732="","",IFERROR(INDEX(Products!$D$2:$D$201,MATCH($B732,Products!$A$2:$A$201,0)),0))</f>
        <v/>
      </c>
      <c r="H732" s="17" t="str">
        <f aca="false">IF($B732="","",C732*G732*(1-D732))</f>
        <v/>
      </c>
      <c r="I732" s="17" t="str">
        <f aca="false">IF($B732="","",C732*IFERROR(INDEX(Products!$E$2:$E$201,MATCH($B732,Products!$A$2:$A$201,0)),0))</f>
        <v/>
      </c>
      <c r="J732" s="17" t="str">
        <f aca="false">IF($B732="","",H732-I732)</f>
        <v/>
      </c>
      <c r="K732" s="16" t="str">
        <f aca="false">IF($A732="","",DATE(YEAR($A732),MONTH($A732),1))</f>
        <v/>
      </c>
    </row>
    <row r="733" customFormat="false" ht="15" hidden="false" customHeight="false" outlineLevel="0" collapsed="false">
      <c r="A733" s="25"/>
      <c r="B733" s="19"/>
      <c r="C733" s="19"/>
      <c r="D733" s="26"/>
      <c r="E733" s="27" t="str">
        <f aca="false">IF($B733="","",IFERROR(INDEX(Products!$B$2:$B$201,MATCH($B733,Products!$A$2:$A$201,0)),"Unknown code"))</f>
        <v/>
      </c>
      <c r="F733" s="22" t="str">
        <f aca="false">IF($B733="","",IFERROR(INDEX(Products!$C$2:$C$201,MATCH($B733,Products!$A$2:$A$201,0)),""))</f>
        <v/>
      </c>
      <c r="G733" s="17" t="str">
        <f aca="false">IF($B733="","",IFERROR(INDEX(Products!$D$2:$D$201,MATCH($B733,Products!$A$2:$A$201,0)),0))</f>
        <v/>
      </c>
      <c r="H733" s="17" t="str">
        <f aca="false">IF($B733="","",C733*G733*(1-D733))</f>
        <v/>
      </c>
      <c r="I733" s="17" t="str">
        <f aca="false">IF($B733="","",C733*IFERROR(INDEX(Products!$E$2:$E$201,MATCH($B733,Products!$A$2:$A$201,0)),0))</f>
        <v/>
      </c>
      <c r="J733" s="17" t="str">
        <f aca="false">IF($B733="","",H733-I733)</f>
        <v/>
      </c>
      <c r="K733" s="16" t="str">
        <f aca="false">IF($A733="","",DATE(YEAR($A733),MONTH($A733),1))</f>
        <v/>
      </c>
    </row>
    <row r="734" customFormat="false" ht="15" hidden="false" customHeight="false" outlineLevel="0" collapsed="false">
      <c r="A734" s="25"/>
      <c r="B734" s="19"/>
      <c r="C734" s="19"/>
      <c r="D734" s="26"/>
      <c r="E734" s="27" t="str">
        <f aca="false">IF($B734="","",IFERROR(INDEX(Products!$B$2:$B$201,MATCH($B734,Products!$A$2:$A$201,0)),"Unknown code"))</f>
        <v/>
      </c>
      <c r="F734" s="22" t="str">
        <f aca="false">IF($B734="","",IFERROR(INDEX(Products!$C$2:$C$201,MATCH($B734,Products!$A$2:$A$201,0)),""))</f>
        <v/>
      </c>
      <c r="G734" s="17" t="str">
        <f aca="false">IF($B734="","",IFERROR(INDEX(Products!$D$2:$D$201,MATCH($B734,Products!$A$2:$A$201,0)),0))</f>
        <v/>
      </c>
      <c r="H734" s="17" t="str">
        <f aca="false">IF($B734="","",C734*G734*(1-D734))</f>
        <v/>
      </c>
      <c r="I734" s="17" t="str">
        <f aca="false">IF($B734="","",C734*IFERROR(INDEX(Products!$E$2:$E$201,MATCH($B734,Products!$A$2:$A$201,0)),0))</f>
        <v/>
      </c>
      <c r="J734" s="17" t="str">
        <f aca="false">IF($B734="","",H734-I734)</f>
        <v/>
      </c>
      <c r="K734" s="16" t="str">
        <f aca="false">IF($A734="","",DATE(YEAR($A734),MONTH($A734),1))</f>
        <v/>
      </c>
    </row>
    <row r="735" customFormat="false" ht="15" hidden="false" customHeight="false" outlineLevel="0" collapsed="false">
      <c r="A735" s="25"/>
      <c r="B735" s="19"/>
      <c r="C735" s="19"/>
      <c r="D735" s="26"/>
      <c r="E735" s="27" t="str">
        <f aca="false">IF($B735="","",IFERROR(INDEX(Products!$B$2:$B$201,MATCH($B735,Products!$A$2:$A$201,0)),"Unknown code"))</f>
        <v/>
      </c>
      <c r="F735" s="22" t="str">
        <f aca="false">IF($B735="","",IFERROR(INDEX(Products!$C$2:$C$201,MATCH($B735,Products!$A$2:$A$201,0)),""))</f>
        <v/>
      </c>
      <c r="G735" s="17" t="str">
        <f aca="false">IF($B735="","",IFERROR(INDEX(Products!$D$2:$D$201,MATCH($B735,Products!$A$2:$A$201,0)),0))</f>
        <v/>
      </c>
      <c r="H735" s="17" t="str">
        <f aca="false">IF($B735="","",C735*G735*(1-D735))</f>
        <v/>
      </c>
      <c r="I735" s="17" t="str">
        <f aca="false">IF($B735="","",C735*IFERROR(INDEX(Products!$E$2:$E$201,MATCH($B735,Products!$A$2:$A$201,0)),0))</f>
        <v/>
      </c>
      <c r="J735" s="17" t="str">
        <f aca="false">IF($B735="","",H735-I735)</f>
        <v/>
      </c>
      <c r="K735" s="16" t="str">
        <f aca="false">IF($A735="","",DATE(YEAR($A735),MONTH($A735),1))</f>
        <v/>
      </c>
    </row>
    <row r="736" customFormat="false" ht="15" hidden="false" customHeight="false" outlineLevel="0" collapsed="false">
      <c r="A736" s="25"/>
      <c r="B736" s="19"/>
      <c r="C736" s="19"/>
      <c r="D736" s="26"/>
      <c r="E736" s="27" t="str">
        <f aca="false">IF($B736="","",IFERROR(INDEX(Products!$B$2:$B$201,MATCH($B736,Products!$A$2:$A$201,0)),"Unknown code"))</f>
        <v/>
      </c>
      <c r="F736" s="22" t="str">
        <f aca="false">IF($B736="","",IFERROR(INDEX(Products!$C$2:$C$201,MATCH($B736,Products!$A$2:$A$201,0)),""))</f>
        <v/>
      </c>
      <c r="G736" s="17" t="str">
        <f aca="false">IF($B736="","",IFERROR(INDEX(Products!$D$2:$D$201,MATCH($B736,Products!$A$2:$A$201,0)),0))</f>
        <v/>
      </c>
      <c r="H736" s="17" t="str">
        <f aca="false">IF($B736="","",C736*G736*(1-D736))</f>
        <v/>
      </c>
      <c r="I736" s="17" t="str">
        <f aca="false">IF($B736="","",C736*IFERROR(INDEX(Products!$E$2:$E$201,MATCH($B736,Products!$A$2:$A$201,0)),0))</f>
        <v/>
      </c>
      <c r="J736" s="17" t="str">
        <f aca="false">IF($B736="","",H736-I736)</f>
        <v/>
      </c>
      <c r="K736" s="16" t="str">
        <f aca="false">IF($A736="","",DATE(YEAR($A736),MONTH($A736),1))</f>
        <v/>
      </c>
    </row>
    <row r="737" customFormat="false" ht="15" hidden="false" customHeight="false" outlineLevel="0" collapsed="false">
      <c r="A737" s="25"/>
      <c r="B737" s="19"/>
      <c r="C737" s="19"/>
      <c r="D737" s="26"/>
      <c r="E737" s="27" t="str">
        <f aca="false">IF($B737="","",IFERROR(INDEX(Products!$B$2:$B$201,MATCH($B737,Products!$A$2:$A$201,0)),"Unknown code"))</f>
        <v/>
      </c>
      <c r="F737" s="22" t="str">
        <f aca="false">IF($B737="","",IFERROR(INDEX(Products!$C$2:$C$201,MATCH($B737,Products!$A$2:$A$201,0)),""))</f>
        <v/>
      </c>
      <c r="G737" s="17" t="str">
        <f aca="false">IF($B737="","",IFERROR(INDEX(Products!$D$2:$D$201,MATCH($B737,Products!$A$2:$A$201,0)),0))</f>
        <v/>
      </c>
      <c r="H737" s="17" t="str">
        <f aca="false">IF($B737="","",C737*G737*(1-D737))</f>
        <v/>
      </c>
      <c r="I737" s="17" t="str">
        <f aca="false">IF($B737="","",C737*IFERROR(INDEX(Products!$E$2:$E$201,MATCH($B737,Products!$A$2:$A$201,0)),0))</f>
        <v/>
      </c>
      <c r="J737" s="17" t="str">
        <f aca="false">IF($B737="","",H737-I737)</f>
        <v/>
      </c>
      <c r="K737" s="16" t="str">
        <f aca="false">IF($A737="","",DATE(YEAR($A737),MONTH($A737),1))</f>
        <v/>
      </c>
    </row>
    <row r="738" customFormat="false" ht="15" hidden="false" customHeight="false" outlineLevel="0" collapsed="false">
      <c r="A738" s="25"/>
      <c r="B738" s="19"/>
      <c r="C738" s="19"/>
      <c r="D738" s="26"/>
      <c r="E738" s="27" t="str">
        <f aca="false">IF($B738="","",IFERROR(INDEX(Products!$B$2:$B$201,MATCH($B738,Products!$A$2:$A$201,0)),"Unknown code"))</f>
        <v/>
      </c>
      <c r="F738" s="22" t="str">
        <f aca="false">IF($B738="","",IFERROR(INDEX(Products!$C$2:$C$201,MATCH($B738,Products!$A$2:$A$201,0)),""))</f>
        <v/>
      </c>
      <c r="G738" s="17" t="str">
        <f aca="false">IF($B738="","",IFERROR(INDEX(Products!$D$2:$D$201,MATCH($B738,Products!$A$2:$A$201,0)),0))</f>
        <v/>
      </c>
      <c r="H738" s="17" t="str">
        <f aca="false">IF($B738="","",C738*G738*(1-D738))</f>
        <v/>
      </c>
      <c r="I738" s="17" t="str">
        <f aca="false">IF($B738="","",C738*IFERROR(INDEX(Products!$E$2:$E$201,MATCH($B738,Products!$A$2:$A$201,0)),0))</f>
        <v/>
      </c>
      <c r="J738" s="17" t="str">
        <f aca="false">IF($B738="","",H738-I738)</f>
        <v/>
      </c>
      <c r="K738" s="16" t="str">
        <f aca="false">IF($A738="","",DATE(YEAR($A738),MONTH($A738),1))</f>
        <v/>
      </c>
    </row>
    <row r="739" customFormat="false" ht="15" hidden="false" customHeight="false" outlineLevel="0" collapsed="false">
      <c r="A739" s="25"/>
      <c r="B739" s="19"/>
      <c r="C739" s="19"/>
      <c r="D739" s="26"/>
      <c r="E739" s="27" t="str">
        <f aca="false">IF($B739="","",IFERROR(INDEX(Products!$B$2:$B$201,MATCH($B739,Products!$A$2:$A$201,0)),"Unknown code"))</f>
        <v/>
      </c>
      <c r="F739" s="22" t="str">
        <f aca="false">IF($B739="","",IFERROR(INDEX(Products!$C$2:$C$201,MATCH($B739,Products!$A$2:$A$201,0)),""))</f>
        <v/>
      </c>
      <c r="G739" s="17" t="str">
        <f aca="false">IF($B739="","",IFERROR(INDEX(Products!$D$2:$D$201,MATCH($B739,Products!$A$2:$A$201,0)),0))</f>
        <v/>
      </c>
      <c r="H739" s="17" t="str">
        <f aca="false">IF($B739="","",C739*G739*(1-D739))</f>
        <v/>
      </c>
      <c r="I739" s="17" t="str">
        <f aca="false">IF($B739="","",C739*IFERROR(INDEX(Products!$E$2:$E$201,MATCH($B739,Products!$A$2:$A$201,0)),0))</f>
        <v/>
      </c>
      <c r="J739" s="17" t="str">
        <f aca="false">IF($B739="","",H739-I739)</f>
        <v/>
      </c>
      <c r="K739" s="16" t="str">
        <f aca="false">IF($A739="","",DATE(YEAR($A739),MONTH($A739),1))</f>
        <v/>
      </c>
    </row>
    <row r="740" customFormat="false" ht="15" hidden="false" customHeight="false" outlineLevel="0" collapsed="false">
      <c r="A740" s="25"/>
      <c r="B740" s="19"/>
      <c r="C740" s="19"/>
      <c r="D740" s="26"/>
      <c r="E740" s="27" t="str">
        <f aca="false">IF($B740="","",IFERROR(INDEX(Products!$B$2:$B$201,MATCH($B740,Products!$A$2:$A$201,0)),"Unknown code"))</f>
        <v/>
      </c>
      <c r="F740" s="22" t="str">
        <f aca="false">IF($B740="","",IFERROR(INDEX(Products!$C$2:$C$201,MATCH($B740,Products!$A$2:$A$201,0)),""))</f>
        <v/>
      </c>
      <c r="G740" s="17" t="str">
        <f aca="false">IF($B740="","",IFERROR(INDEX(Products!$D$2:$D$201,MATCH($B740,Products!$A$2:$A$201,0)),0))</f>
        <v/>
      </c>
      <c r="H740" s="17" t="str">
        <f aca="false">IF($B740="","",C740*G740*(1-D740))</f>
        <v/>
      </c>
      <c r="I740" s="17" t="str">
        <f aca="false">IF($B740="","",C740*IFERROR(INDEX(Products!$E$2:$E$201,MATCH($B740,Products!$A$2:$A$201,0)),0))</f>
        <v/>
      </c>
      <c r="J740" s="17" t="str">
        <f aca="false">IF($B740="","",H740-I740)</f>
        <v/>
      </c>
      <c r="K740" s="16" t="str">
        <f aca="false">IF($A740="","",DATE(YEAR($A740),MONTH($A740),1))</f>
        <v/>
      </c>
    </row>
    <row r="741" customFormat="false" ht="15" hidden="false" customHeight="false" outlineLevel="0" collapsed="false">
      <c r="A741" s="25"/>
      <c r="B741" s="19"/>
      <c r="C741" s="19"/>
      <c r="D741" s="26"/>
      <c r="E741" s="27" t="str">
        <f aca="false">IF($B741="","",IFERROR(INDEX(Products!$B$2:$B$201,MATCH($B741,Products!$A$2:$A$201,0)),"Unknown code"))</f>
        <v/>
      </c>
      <c r="F741" s="22" t="str">
        <f aca="false">IF($B741="","",IFERROR(INDEX(Products!$C$2:$C$201,MATCH($B741,Products!$A$2:$A$201,0)),""))</f>
        <v/>
      </c>
      <c r="G741" s="17" t="str">
        <f aca="false">IF($B741="","",IFERROR(INDEX(Products!$D$2:$D$201,MATCH($B741,Products!$A$2:$A$201,0)),0))</f>
        <v/>
      </c>
      <c r="H741" s="17" t="str">
        <f aca="false">IF($B741="","",C741*G741*(1-D741))</f>
        <v/>
      </c>
      <c r="I741" s="17" t="str">
        <f aca="false">IF($B741="","",C741*IFERROR(INDEX(Products!$E$2:$E$201,MATCH($B741,Products!$A$2:$A$201,0)),0))</f>
        <v/>
      </c>
      <c r="J741" s="17" t="str">
        <f aca="false">IF($B741="","",H741-I741)</f>
        <v/>
      </c>
      <c r="K741" s="16" t="str">
        <f aca="false">IF($A741="","",DATE(YEAR($A741),MONTH($A741),1))</f>
        <v/>
      </c>
    </row>
    <row r="742" customFormat="false" ht="15" hidden="false" customHeight="false" outlineLevel="0" collapsed="false">
      <c r="A742" s="25"/>
      <c r="B742" s="19"/>
      <c r="C742" s="19"/>
      <c r="D742" s="26"/>
      <c r="E742" s="27" t="str">
        <f aca="false">IF($B742="","",IFERROR(INDEX(Products!$B$2:$B$201,MATCH($B742,Products!$A$2:$A$201,0)),"Unknown code"))</f>
        <v/>
      </c>
      <c r="F742" s="22" t="str">
        <f aca="false">IF($B742="","",IFERROR(INDEX(Products!$C$2:$C$201,MATCH($B742,Products!$A$2:$A$201,0)),""))</f>
        <v/>
      </c>
      <c r="G742" s="17" t="str">
        <f aca="false">IF($B742="","",IFERROR(INDEX(Products!$D$2:$D$201,MATCH($B742,Products!$A$2:$A$201,0)),0))</f>
        <v/>
      </c>
      <c r="H742" s="17" t="str">
        <f aca="false">IF($B742="","",C742*G742*(1-D742))</f>
        <v/>
      </c>
      <c r="I742" s="17" t="str">
        <f aca="false">IF($B742="","",C742*IFERROR(INDEX(Products!$E$2:$E$201,MATCH($B742,Products!$A$2:$A$201,0)),0))</f>
        <v/>
      </c>
      <c r="J742" s="17" t="str">
        <f aca="false">IF($B742="","",H742-I742)</f>
        <v/>
      </c>
      <c r="K742" s="16" t="str">
        <f aca="false">IF($A742="","",DATE(YEAR($A742),MONTH($A742),1))</f>
        <v/>
      </c>
    </row>
    <row r="743" customFormat="false" ht="15" hidden="false" customHeight="false" outlineLevel="0" collapsed="false">
      <c r="A743" s="25"/>
      <c r="B743" s="19"/>
      <c r="C743" s="19"/>
      <c r="D743" s="26"/>
      <c r="E743" s="27" t="str">
        <f aca="false">IF($B743="","",IFERROR(INDEX(Products!$B$2:$B$201,MATCH($B743,Products!$A$2:$A$201,0)),"Unknown code"))</f>
        <v/>
      </c>
      <c r="F743" s="22" t="str">
        <f aca="false">IF($B743="","",IFERROR(INDEX(Products!$C$2:$C$201,MATCH($B743,Products!$A$2:$A$201,0)),""))</f>
        <v/>
      </c>
      <c r="G743" s="17" t="str">
        <f aca="false">IF($B743="","",IFERROR(INDEX(Products!$D$2:$D$201,MATCH($B743,Products!$A$2:$A$201,0)),0))</f>
        <v/>
      </c>
      <c r="H743" s="17" t="str">
        <f aca="false">IF($B743="","",C743*G743*(1-D743))</f>
        <v/>
      </c>
      <c r="I743" s="17" t="str">
        <f aca="false">IF($B743="","",C743*IFERROR(INDEX(Products!$E$2:$E$201,MATCH($B743,Products!$A$2:$A$201,0)),0))</f>
        <v/>
      </c>
      <c r="J743" s="17" t="str">
        <f aca="false">IF($B743="","",H743-I743)</f>
        <v/>
      </c>
      <c r="K743" s="16" t="str">
        <f aca="false">IF($A743="","",DATE(YEAR($A743),MONTH($A743),1))</f>
        <v/>
      </c>
    </row>
    <row r="744" customFormat="false" ht="15" hidden="false" customHeight="false" outlineLevel="0" collapsed="false">
      <c r="A744" s="25"/>
      <c r="B744" s="19"/>
      <c r="C744" s="19"/>
      <c r="D744" s="26"/>
      <c r="E744" s="27" t="str">
        <f aca="false">IF($B744="","",IFERROR(INDEX(Products!$B$2:$B$201,MATCH($B744,Products!$A$2:$A$201,0)),"Unknown code"))</f>
        <v/>
      </c>
      <c r="F744" s="22" t="str">
        <f aca="false">IF($B744="","",IFERROR(INDEX(Products!$C$2:$C$201,MATCH($B744,Products!$A$2:$A$201,0)),""))</f>
        <v/>
      </c>
      <c r="G744" s="17" t="str">
        <f aca="false">IF($B744="","",IFERROR(INDEX(Products!$D$2:$D$201,MATCH($B744,Products!$A$2:$A$201,0)),0))</f>
        <v/>
      </c>
      <c r="H744" s="17" t="str">
        <f aca="false">IF($B744="","",C744*G744*(1-D744))</f>
        <v/>
      </c>
      <c r="I744" s="17" t="str">
        <f aca="false">IF($B744="","",C744*IFERROR(INDEX(Products!$E$2:$E$201,MATCH($B744,Products!$A$2:$A$201,0)),0))</f>
        <v/>
      </c>
      <c r="J744" s="17" t="str">
        <f aca="false">IF($B744="","",H744-I744)</f>
        <v/>
      </c>
      <c r="K744" s="16" t="str">
        <f aca="false">IF($A744="","",DATE(YEAR($A744),MONTH($A744),1))</f>
        <v/>
      </c>
    </row>
    <row r="745" customFormat="false" ht="15" hidden="false" customHeight="false" outlineLevel="0" collapsed="false">
      <c r="A745" s="25"/>
      <c r="B745" s="19"/>
      <c r="C745" s="19"/>
      <c r="D745" s="26"/>
      <c r="E745" s="27" t="str">
        <f aca="false">IF($B745="","",IFERROR(INDEX(Products!$B$2:$B$201,MATCH($B745,Products!$A$2:$A$201,0)),"Unknown code"))</f>
        <v/>
      </c>
      <c r="F745" s="22" t="str">
        <f aca="false">IF($B745="","",IFERROR(INDEX(Products!$C$2:$C$201,MATCH($B745,Products!$A$2:$A$201,0)),""))</f>
        <v/>
      </c>
      <c r="G745" s="17" t="str">
        <f aca="false">IF($B745="","",IFERROR(INDEX(Products!$D$2:$D$201,MATCH($B745,Products!$A$2:$A$201,0)),0))</f>
        <v/>
      </c>
      <c r="H745" s="17" t="str">
        <f aca="false">IF($B745="","",C745*G745*(1-D745))</f>
        <v/>
      </c>
      <c r="I745" s="17" t="str">
        <f aca="false">IF($B745="","",C745*IFERROR(INDEX(Products!$E$2:$E$201,MATCH($B745,Products!$A$2:$A$201,0)),0))</f>
        <v/>
      </c>
      <c r="J745" s="17" t="str">
        <f aca="false">IF($B745="","",H745-I745)</f>
        <v/>
      </c>
      <c r="K745" s="16" t="str">
        <f aca="false">IF($A745="","",DATE(YEAR($A745),MONTH($A745),1))</f>
        <v/>
      </c>
    </row>
    <row r="746" customFormat="false" ht="15" hidden="false" customHeight="false" outlineLevel="0" collapsed="false">
      <c r="A746" s="25"/>
      <c r="B746" s="19"/>
      <c r="C746" s="19"/>
      <c r="D746" s="26"/>
      <c r="E746" s="27" t="str">
        <f aca="false">IF($B746="","",IFERROR(INDEX(Products!$B$2:$B$201,MATCH($B746,Products!$A$2:$A$201,0)),"Unknown code"))</f>
        <v/>
      </c>
      <c r="F746" s="22" t="str">
        <f aca="false">IF($B746="","",IFERROR(INDEX(Products!$C$2:$C$201,MATCH($B746,Products!$A$2:$A$201,0)),""))</f>
        <v/>
      </c>
      <c r="G746" s="17" t="str">
        <f aca="false">IF($B746="","",IFERROR(INDEX(Products!$D$2:$D$201,MATCH($B746,Products!$A$2:$A$201,0)),0))</f>
        <v/>
      </c>
      <c r="H746" s="17" t="str">
        <f aca="false">IF($B746="","",C746*G746*(1-D746))</f>
        <v/>
      </c>
      <c r="I746" s="17" t="str">
        <f aca="false">IF($B746="","",C746*IFERROR(INDEX(Products!$E$2:$E$201,MATCH($B746,Products!$A$2:$A$201,0)),0))</f>
        <v/>
      </c>
      <c r="J746" s="17" t="str">
        <f aca="false">IF($B746="","",H746-I746)</f>
        <v/>
      </c>
      <c r="K746" s="16" t="str">
        <f aca="false">IF($A746="","",DATE(YEAR($A746),MONTH($A746),1))</f>
        <v/>
      </c>
    </row>
    <row r="747" customFormat="false" ht="15" hidden="false" customHeight="false" outlineLevel="0" collapsed="false">
      <c r="A747" s="25"/>
      <c r="B747" s="19"/>
      <c r="C747" s="19"/>
      <c r="D747" s="26"/>
      <c r="E747" s="27" t="str">
        <f aca="false">IF($B747="","",IFERROR(INDEX(Products!$B$2:$B$201,MATCH($B747,Products!$A$2:$A$201,0)),"Unknown code"))</f>
        <v/>
      </c>
      <c r="F747" s="22" t="str">
        <f aca="false">IF($B747="","",IFERROR(INDEX(Products!$C$2:$C$201,MATCH($B747,Products!$A$2:$A$201,0)),""))</f>
        <v/>
      </c>
      <c r="G747" s="17" t="str">
        <f aca="false">IF($B747="","",IFERROR(INDEX(Products!$D$2:$D$201,MATCH($B747,Products!$A$2:$A$201,0)),0))</f>
        <v/>
      </c>
      <c r="H747" s="17" t="str">
        <f aca="false">IF($B747="","",C747*G747*(1-D747))</f>
        <v/>
      </c>
      <c r="I747" s="17" t="str">
        <f aca="false">IF($B747="","",C747*IFERROR(INDEX(Products!$E$2:$E$201,MATCH($B747,Products!$A$2:$A$201,0)),0))</f>
        <v/>
      </c>
      <c r="J747" s="17" t="str">
        <f aca="false">IF($B747="","",H747-I747)</f>
        <v/>
      </c>
      <c r="K747" s="16" t="str">
        <f aca="false">IF($A747="","",DATE(YEAR($A747),MONTH($A747),1))</f>
        <v/>
      </c>
    </row>
    <row r="748" customFormat="false" ht="15" hidden="false" customHeight="false" outlineLevel="0" collapsed="false">
      <c r="A748" s="25"/>
      <c r="B748" s="19"/>
      <c r="C748" s="19"/>
      <c r="D748" s="26"/>
      <c r="E748" s="27" t="str">
        <f aca="false">IF($B748="","",IFERROR(INDEX(Products!$B$2:$B$201,MATCH($B748,Products!$A$2:$A$201,0)),"Unknown code"))</f>
        <v/>
      </c>
      <c r="F748" s="22" t="str">
        <f aca="false">IF($B748="","",IFERROR(INDEX(Products!$C$2:$C$201,MATCH($B748,Products!$A$2:$A$201,0)),""))</f>
        <v/>
      </c>
      <c r="G748" s="17" t="str">
        <f aca="false">IF($B748="","",IFERROR(INDEX(Products!$D$2:$D$201,MATCH($B748,Products!$A$2:$A$201,0)),0))</f>
        <v/>
      </c>
      <c r="H748" s="17" t="str">
        <f aca="false">IF($B748="","",C748*G748*(1-D748))</f>
        <v/>
      </c>
      <c r="I748" s="17" t="str">
        <f aca="false">IF($B748="","",C748*IFERROR(INDEX(Products!$E$2:$E$201,MATCH($B748,Products!$A$2:$A$201,0)),0))</f>
        <v/>
      </c>
      <c r="J748" s="17" t="str">
        <f aca="false">IF($B748="","",H748-I748)</f>
        <v/>
      </c>
      <c r="K748" s="16" t="str">
        <f aca="false">IF($A748="","",DATE(YEAR($A748),MONTH($A748),1))</f>
        <v/>
      </c>
    </row>
    <row r="749" customFormat="false" ht="15" hidden="false" customHeight="false" outlineLevel="0" collapsed="false">
      <c r="A749" s="25"/>
      <c r="B749" s="19"/>
      <c r="C749" s="19"/>
      <c r="D749" s="26"/>
      <c r="E749" s="27" t="str">
        <f aca="false">IF($B749="","",IFERROR(INDEX(Products!$B$2:$B$201,MATCH($B749,Products!$A$2:$A$201,0)),"Unknown code"))</f>
        <v/>
      </c>
      <c r="F749" s="22" t="str">
        <f aca="false">IF($B749="","",IFERROR(INDEX(Products!$C$2:$C$201,MATCH($B749,Products!$A$2:$A$201,0)),""))</f>
        <v/>
      </c>
      <c r="G749" s="17" t="str">
        <f aca="false">IF($B749="","",IFERROR(INDEX(Products!$D$2:$D$201,MATCH($B749,Products!$A$2:$A$201,0)),0))</f>
        <v/>
      </c>
      <c r="H749" s="17" t="str">
        <f aca="false">IF($B749="","",C749*G749*(1-D749))</f>
        <v/>
      </c>
      <c r="I749" s="17" t="str">
        <f aca="false">IF($B749="","",C749*IFERROR(INDEX(Products!$E$2:$E$201,MATCH($B749,Products!$A$2:$A$201,0)),0))</f>
        <v/>
      </c>
      <c r="J749" s="17" t="str">
        <f aca="false">IF($B749="","",H749-I749)</f>
        <v/>
      </c>
      <c r="K749" s="16" t="str">
        <f aca="false">IF($A749="","",DATE(YEAR($A749),MONTH($A749),1))</f>
        <v/>
      </c>
    </row>
    <row r="750" customFormat="false" ht="15" hidden="false" customHeight="false" outlineLevel="0" collapsed="false">
      <c r="A750" s="25"/>
      <c r="B750" s="19"/>
      <c r="C750" s="19"/>
      <c r="D750" s="26"/>
      <c r="E750" s="27" t="str">
        <f aca="false">IF($B750="","",IFERROR(INDEX(Products!$B$2:$B$201,MATCH($B750,Products!$A$2:$A$201,0)),"Unknown code"))</f>
        <v/>
      </c>
      <c r="F750" s="22" t="str">
        <f aca="false">IF($B750="","",IFERROR(INDEX(Products!$C$2:$C$201,MATCH($B750,Products!$A$2:$A$201,0)),""))</f>
        <v/>
      </c>
      <c r="G750" s="17" t="str">
        <f aca="false">IF($B750="","",IFERROR(INDEX(Products!$D$2:$D$201,MATCH($B750,Products!$A$2:$A$201,0)),0))</f>
        <v/>
      </c>
      <c r="H750" s="17" t="str">
        <f aca="false">IF($B750="","",C750*G750*(1-D750))</f>
        <v/>
      </c>
      <c r="I750" s="17" t="str">
        <f aca="false">IF($B750="","",C750*IFERROR(INDEX(Products!$E$2:$E$201,MATCH($B750,Products!$A$2:$A$201,0)),0))</f>
        <v/>
      </c>
      <c r="J750" s="17" t="str">
        <f aca="false">IF($B750="","",H750-I750)</f>
        <v/>
      </c>
      <c r="K750" s="16" t="str">
        <f aca="false">IF($A750="","",DATE(YEAR($A750),MONTH($A750),1))</f>
        <v/>
      </c>
    </row>
    <row r="751" customFormat="false" ht="15" hidden="false" customHeight="false" outlineLevel="0" collapsed="false">
      <c r="A751" s="25"/>
      <c r="B751" s="19"/>
      <c r="C751" s="19"/>
      <c r="D751" s="26"/>
      <c r="E751" s="27" t="str">
        <f aca="false">IF($B751="","",IFERROR(INDEX(Products!$B$2:$B$201,MATCH($B751,Products!$A$2:$A$201,0)),"Unknown code"))</f>
        <v/>
      </c>
      <c r="F751" s="22" t="str">
        <f aca="false">IF($B751="","",IFERROR(INDEX(Products!$C$2:$C$201,MATCH($B751,Products!$A$2:$A$201,0)),""))</f>
        <v/>
      </c>
      <c r="G751" s="17" t="str">
        <f aca="false">IF($B751="","",IFERROR(INDEX(Products!$D$2:$D$201,MATCH($B751,Products!$A$2:$A$201,0)),0))</f>
        <v/>
      </c>
      <c r="H751" s="17" t="str">
        <f aca="false">IF($B751="","",C751*G751*(1-D751))</f>
        <v/>
      </c>
      <c r="I751" s="17" t="str">
        <f aca="false">IF($B751="","",C751*IFERROR(INDEX(Products!$E$2:$E$201,MATCH($B751,Products!$A$2:$A$201,0)),0))</f>
        <v/>
      </c>
      <c r="J751" s="17" t="str">
        <f aca="false">IF($B751="","",H751-I751)</f>
        <v/>
      </c>
      <c r="K751" s="16" t="str">
        <f aca="false">IF($A751="","",DATE(YEAR($A751),MONTH($A751),1))</f>
        <v/>
      </c>
    </row>
    <row r="752" customFormat="false" ht="15" hidden="false" customHeight="false" outlineLevel="0" collapsed="false">
      <c r="A752" s="25"/>
      <c r="B752" s="19"/>
      <c r="C752" s="19"/>
      <c r="D752" s="26"/>
      <c r="E752" s="27" t="str">
        <f aca="false">IF($B752="","",IFERROR(INDEX(Products!$B$2:$B$201,MATCH($B752,Products!$A$2:$A$201,0)),"Unknown code"))</f>
        <v/>
      </c>
      <c r="F752" s="22" t="str">
        <f aca="false">IF($B752="","",IFERROR(INDEX(Products!$C$2:$C$201,MATCH($B752,Products!$A$2:$A$201,0)),""))</f>
        <v/>
      </c>
      <c r="G752" s="17" t="str">
        <f aca="false">IF($B752="","",IFERROR(INDEX(Products!$D$2:$D$201,MATCH($B752,Products!$A$2:$A$201,0)),0))</f>
        <v/>
      </c>
      <c r="H752" s="17" t="str">
        <f aca="false">IF($B752="","",C752*G752*(1-D752))</f>
        <v/>
      </c>
      <c r="I752" s="17" t="str">
        <f aca="false">IF($B752="","",C752*IFERROR(INDEX(Products!$E$2:$E$201,MATCH($B752,Products!$A$2:$A$201,0)),0))</f>
        <v/>
      </c>
      <c r="J752" s="17" t="str">
        <f aca="false">IF($B752="","",H752-I752)</f>
        <v/>
      </c>
      <c r="K752" s="16" t="str">
        <f aca="false">IF($A752="","",DATE(YEAR($A752),MONTH($A752),1))</f>
        <v/>
      </c>
    </row>
    <row r="753" customFormat="false" ht="15" hidden="false" customHeight="false" outlineLevel="0" collapsed="false">
      <c r="A753" s="25"/>
      <c r="B753" s="19"/>
      <c r="C753" s="19"/>
      <c r="D753" s="26"/>
      <c r="E753" s="27" t="str">
        <f aca="false">IF($B753="","",IFERROR(INDEX(Products!$B$2:$B$201,MATCH($B753,Products!$A$2:$A$201,0)),"Unknown code"))</f>
        <v/>
      </c>
      <c r="F753" s="22" t="str">
        <f aca="false">IF($B753="","",IFERROR(INDEX(Products!$C$2:$C$201,MATCH($B753,Products!$A$2:$A$201,0)),""))</f>
        <v/>
      </c>
      <c r="G753" s="17" t="str">
        <f aca="false">IF($B753="","",IFERROR(INDEX(Products!$D$2:$D$201,MATCH($B753,Products!$A$2:$A$201,0)),0))</f>
        <v/>
      </c>
      <c r="H753" s="17" t="str">
        <f aca="false">IF($B753="","",C753*G753*(1-D753))</f>
        <v/>
      </c>
      <c r="I753" s="17" t="str">
        <f aca="false">IF($B753="","",C753*IFERROR(INDEX(Products!$E$2:$E$201,MATCH($B753,Products!$A$2:$A$201,0)),0))</f>
        <v/>
      </c>
      <c r="J753" s="17" t="str">
        <f aca="false">IF($B753="","",H753-I753)</f>
        <v/>
      </c>
      <c r="K753" s="16" t="str">
        <f aca="false">IF($A753="","",DATE(YEAR($A753),MONTH($A753),1))</f>
        <v/>
      </c>
    </row>
    <row r="754" customFormat="false" ht="15" hidden="false" customHeight="false" outlineLevel="0" collapsed="false">
      <c r="A754" s="25"/>
      <c r="B754" s="19"/>
      <c r="C754" s="19"/>
      <c r="D754" s="26"/>
      <c r="E754" s="27" t="str">
        <f aca="false">IF($B754="","",IFERROR(INDEX(Products!$B$2:$B$201,MATCH($B754,Products!$A$2:$A$201,0)),"Unknown code"))</f>
        <v/>
      </c>
      <c r="F754" s="22" t="str">
        <f aca="false">IF($B754="","",IFERROR(INDEX(Products!$C$2:$C$201,MATCH($B754,Products!$A$2:$A$201,0)),""))</f>
        <v/>
      </c>
      <c r="G754" s="17" t="str">
        <f aca="false">IF($B754="","",IFERROR(INDEX(Products!$D$2:$D$201,MATCH($B754,Products!$A$2:$A$201,0)),0))</f>
        <v/>
      </c>
      <c r="H754" s="17" t="str">
        <f aca="false">IF($B754="","",C754*G754*(1-D754))</f>
        <v/>
      </c>
      <c r="I754" s="17" t="str">
        <f aca="false">IF($B754="","",C754*IFERROR(INDEX(Products!$E$2:$E$201,MATCH($B754,Products!$A$2:$A$201,0)),0))</f>
        <v/>
      </c>
      <c r="J754" s="17" t="str">
        <f aca="false">IF($B754="","",H754-I754)</f>
        <v/>
      </c>
      <c r="K754" s="16" t="str">
        <f aca="false">IF($A754="","",DATE(YEAR($A754),MONTH($A754),1))</f>
        <v/>
      </c>
    </row>
    <row r="755" customFormat="false" ht="15" hidden="false" customHeight="false" outlineLevel="0" collapsed="false">
      <c r="A755" s="25"/>
      <c r="B755" s="19"/>
      <c r="C755" s="19"/>
      <c r="D755" s="26"/>
      <c r="E755" s="27" t="str">
        <f aca="false">IF($B755="","",IFERROR(INDEX(Products!$B$2:$B$201,MATCH($B755,Products!$A$2:$A$201,0)),"Unknown code"))</f>
        <v/>
      </c>
      <c r="F755" s="22" t="str">
        <f aca="false">IF($B755="","",IFERROR(INDEX(Products!$C$2:$C$201,MATCH($B755,Products!$A$2:$A$201,0)),""))</f>
        <v/>
      </c>
      <c r="G755" s="17" t="str">
        <f aca="false">IF($B755="","",IFERROR(INDEX(Products!$D$2:$D$201,MATCH($B755,Products!$A$2:$A$201,0)),0))</f>
        <v/>
      </c>
      <c r="H755" s="17" t="str">
        <f aca="false">IF($B755="","",C755*G755*(1-D755))</f>
        <v/>
      </c>
      <c r="I755" s="17" t="str">
        <f aca="false">IF($B755="","",C755*IFERROR(INDEX(Products!$E$2:$E$201,MATCH($B755,Products!$A$2:$A$201,0)),0))</f>
        <v/>
      </c>
      <c r="J755" s="17" t="str">
        <f aca="false">IF($B755="","",H755-I755)</f>
        <v/>
      </c>
      <c r="K755" s="16" t="str">
        <f aca="false">IF($A755="","",DATE(YEAR($A755),MONTH($A755),1))</f>
        <v/>
      </c>
    </row>
    <row r="756" customFormat="false" ht="15" hidden="false" customHeight="false" outlineLevel="0" collapsed="false">
      <c r="A756" s="25"/>
      <c r="B756" s="19"/>
      <c r="C756" s="19"/>
      <c r="D756" s="26"/>
      <c r="E756" s="27" t="str">
        <f aca="false">IF($B756="","",IFERROR(INDEX(Products!$B$2:$B$201,MATCH($B756,Products!$A$2:$A$201,0)),"Unknown code"))</f>
        <v/>
      </c>
      <c r="F756" s="22" t="str">
        <f aca="false">IF($B756="","",IFERROR(INDEX(Products!$C$2:$C$201,MATCH($B756,Products!$A$2:$A$201,0)),""))</f>
        <v/>
      </c>
      <c r="G756" s="17" t="str">
        <f aca="false">IF($B756="","",IFERROR(INDEX(Products!$D$2:$D$201,MATCH($B756,Products!$A$2:$A$201,0)),0))</f>
        <v/>
      </c>
      <c r="H756" s="17" t="str">
        <f aca="false">IF($B756="","",C756*G756*(1-D756))</f>
        <v/>
      </c>
      <c r="I756" s="17" t="str">
        <f aca="false">IF($B756="","",C756*IFERROR(INDEX(Products!$E$2:$E$201,MATCH($B756,Products!$A$2:$A$201,0)),0))</f>
        <v/>
      </c>
      <c r="J756" s="17" t="str">
        <f aca="false">IF($B756="","",H756-I756)</f>
        <v/>
      </c>
      <c r="K756" s="16" t="str">
        <f aca="false">IF($A756="","",DATE(YEAR($A756),MONTH($A756),1))</f>
        <v/>
      </c>
    </row>
    <row r="757" customFormat="false" ht="15" hidden="false" customHeight="false" outlineLevel="0" collapsed="false">
      <c r="A757" s="25"/>
      <c r="B757" s="19"/>
      <c r="C757" s="19"/>
      <c r="D757" s="26"/>
      <c r="E757" s="27" t="str">
        <f aca="false">IF($B757="","",IFERROR(INDEX(Products!$B$2:$B$201,MATCH($B757,Products!$A$2:$A$201,0)),"Unknown code"))</f>
        <v/>
      </c>
      <c r="F757" s="22" t="str">
        <f aca="false">IF($B757="","",IFERROR(INDEX(Products!$C$2:$C$201,MATCH($B757,Products!$A$2:$A$201,0)),""))</f>
        <v/>
      </c>
      <c r="G757" s="17" t="str">
        <f aca="false">IF($B757="","",IFERROR(INDEX(Products!$D$2:$D$201,MATCH($B757,Products!$A$2:$A$201,0)),0))</f>
        <v/>
      </c>
      <c r="H757" s="17" t="str">
        <f aca="false">IF($B757="","",C757*G757*(1-D757))</f>
        <v/>
      </c>
      <c r="I757" s="17" t="str">
        <f aca="false">IF($B757="","",C757*IFERROR(INDEX(Products!$E$2:$E$201,MATCH($B757,Products!$A$2:$A$201,0)),0))</f>
        <v/>
      </c>
      <c r="J757" s="17" t="str">
        <f aca="false">IF($B757="","",H757-I757)</f>
        <v/>
      </c>
      <c r="K757" s="16" t="str">
        <f aca="false">IF($A757="","",DATE(YEAR($A757),MONTH($A757),1))</f>
        <v/>
      </c>
    </row>
    <row r="758" customFormat="false" ht="15" hidden="false" customHeight="false" outlineLevel="0" collapsed="false">
      <c r="A758" s="25"/>
      <c r="B758" s="19"/>
      <c r="C758" s="19"/>
      <c r="D758" s="26"/>
      <c r="E758" s="27" t="str">
        <f aca="false">IF($B758="","",IFERROR(INDEX(Products!$B$2:$B$201,MATCH($B758,Products!$A$2:$A$201,0)),"Unknown code"))</f>
        <v/>
      </c>
      <c r="F758" s="22" t="str">
        <f aca="false">IF($B758="","",IFERROR(INDEX(Products!$C$2:$C$201,MATCH($B758,Products!$A$2:$A$201,0)),""))</f>
        <v/>
      </c>
      <c r="G758" s="17" t="str">
        <f aca="false">IF($B758="","",IFERROR(INDEX(Products!$D$2:$D$201,MATCH($B758,Products!$A$2:$A$201,0)),0))</f>
        <v/>
      </c>
      <c r="H758" s="17" t="str">
        <f aca="false">IF($B758="","",C758*G758*(1-D758))</f>
        <v/>
      </c>
      <c r="I758" s="17" t="str">
        <f aca="false">IF($B758="","",C758*IFERROR(INDEX(Products!$E$2:$E$201,MATCH($B758,Products!$A$2:$A$201,0)),0))</f>
        <v/>
      </c>
      <c r="J758" s="17" t="str">
        <f aca="false">IF($B758="","",H758-I758)</f>
        <v/>
      </c>
      <c r="K758" s="16" t="str">
        <f aca="false">IF($A758="","",DATE(YEAR($A758),MONTH($A758),1))</f>
        <v/>
      </c>
    </row>
    <row r="759" customFormat="false" ht="15" hidden="false" customHeight="false" outlineLevel="0" collapsed="false">
      <c r="A759" s="25"/>
      <c r="B759" s="19"/>
      <c r="C759" s="19"/>
      <c r="D759" s="26"/>
      <c r="E759" s="27" t="str">
        <f aca="false">IF($B759="","",IFERROR(INDEX(Products!$B$2:$B$201,MATCH($B759,Products!$A$2:$A$201,0)),"Unknown code"))</f>
        <v/>
      </c>
      <c r="F759" s="22" t="str">
        <f aca="false">IF($B759="","",IFERROR(INDEX(Products!$C$2:$C$201,MATCH($B759,Products!$A$2:$A$201,0)),""))</f>
        <v/>
      </c>
      <c r="G759" s="17" t="str">
        <f aca="false">IF($B759="","",IFERROR(INDEX(Products!$D$2:$D$201,MATCH($B759,Products!$A$2:$A$201,0)),0))</f>
        <v/>
      </c>
      <c r="H759" s="17" t="str">
        <f aca="false">IF($B759="","",C759*G759*(1-D759))</f>
        <v/>
      </c>
      <c r="I759" s="17" t="str">
        <f aca="false">IF($B759="","",C759*IFERROR(INDEX(Products!$E$2:$E$201,MATCH($B759,Products!$A$2:$A$201,0)),0))</f>
        <v/>
      </c>
      <c r="J759" s="17" t="str">
        <f aca="false">IF($B759="","",H759-I759)</f>
        <v/>
      </c>
      <c r="K759" s="16" t="str">
        <f aca="false">IF($A759="","",DATE(YEAR($A759),MONTH($A759),1))</f>
        <v/>
      </c>
    </row>
    <row r="760" customFormat="false" ht="15" hidden="false" customHeight="false" outlineLevel="0" collapsed="false">
      <c r="A760" s="25"/>
      <c r="B760" s="19"/>
      <c r="C760" s="19"/>
      <c r="D760" s="26"/>
      <c r="E760" s="27" t="str">
        <f aca="false">IF($B760="","",IFERROR(INDEX(Products!$B$2:$B$201,MATCH($B760,Products!$A$2:$A$201,0)),"Unknown code"))</f>
        <v/>
      </c>
      <c r="F760" s="22" t="str">
        <f aca="false">IF($B760="","",IFERROR(INDEX(Products!$C$2:$C$201,MATCH($B760,Products!$A$2:$A$201,0)),""))</f>
        <v/>
      </c>
      <c r="G760" s="17" t="str">
        <f aca="false">IF($B760="","",IFERROR(INDEX(Products!$D$2:$D$201,MATCH($B760,Products!$A$2:$A$201,0)),0))</f>
        <v/>
      </c>
      <c r="H760" s="17" t="str">
        <f aca="false">IF($B760="","",C760*G760*(1-D760))</f>
        <v/>
      </c>
      <c r="I760" s="17" t="str">
        <f aca="false">IF($B760="","",C760*IFERROR(INDEX(Products!$E$2:$E$201,MATCH($B760,Products!$A$2:$A$201,0)),0))</f>
        <v/>
      </c>
      <c r="J760" s="17" t="str">
        <f aca="false">IF($B760="","",H760-I760)</f>
        <v/>
      </c>
      <c r="K760" s="16" t="str">
        <f aca="false">IF($A760="","",DATE(YEAR($A760),MONTH($A760),1))</f>
        <v/>
      </c>
    </row>
    <row r="761" customFormat="false" ht="15" hidden="false" customHeight="false" outlineLevel="0" collapsed="false">
      <c r="A761" s="25"/>
      <c r="B761" s="19"/>
      <c r="C761" s="19"/>
      <c r="D761" s="26"/>
      <c r="E761" s="27" t="str">
        <f aca="false">IF($B761="","",IFERROR(INDEX(Products!$B$2:$B$201,MATCH($B761,Products!$A$2:$A$201,0)),"Unknown code"))</f>
        <v/>
      </c>
      <c r="F761" s="22" t="str">
        <f aca="false">IF($B761="","",IFERROR(INDEX(Products!$C$2:$C$201,MATCH($B761,Products!$A$2:$A$201,0)),""))</f>
        <v/>
      </c>
      <c r="G761" s="17" t="str">
        <f aca="false">IF($B761="","",IFERROR(INDEX(Products!$D$2:$D$201,MATCH($B761,Products!$A$2:$A$201,0)),0))</f>
        <v/>
      </c>
      <c r="H761" s="17" t="str">
        <f aca="false">IF($B761="","",C761*G761*(1-D761))</f>
        <v/>
      </c>
      <c r="I761" s="17" t="str">
        <f aca="false">IF($B761="","",C761*IFERROR(INDEX(Products!$E$2:$E$201,MATCH($B761,Products!$A$2:$A$201,0)),0))</f>
        <v/>
      </c>
      <c r="J761" s="17" t="str">
        <f aca="false">IF($B761="","",H761-I761)</f>
        <v/>
      </c>
      <c r="K761" s="16" t="str">
        <f aca="false">IF($A761="","",DATE(YEAR($A761),MONTH($A761),1))</f>
        <v/>
      </c>
    </row>
    <row r="762" customFormat="false" ht="15" hidden="false" customHeight="false" outlineLevel="0" collapsed="false">
      <c r="A762" s="25"/>
      <c r="B762" s="19"/>
      <c r="C762" s="19"/>
      <c r="D762" s="26"/>
      <c r="E762" s="27" t="str">
        <f aca="false">IF($B762="","",IFERROR(INDEX(Products!$B$2:$B$201,MATCH($B762,Products!$A$2:$A$201,0)),"Unknown code"))</f>
        <v/>
      </c>
      <c r="F762" s="22" t="str">
        <f aca="false">IF($B762="","",IFERROR(INDEX(Products!$C$2:$C$201,MATCH($B762,Products!$A$2:$A$201,0)),""))</f>
        <v/>
      </c>
      <c r="G762" s="17" t="str">
        <f aca="false">IF($B762="","",IFERROR(INDEX(Products!$D$2:$D$201,MATCH($B762,Products!$A$2:$A$201,0)),0))</f>
        <v/>
      </c>
      <c r="H762" s="17" t="str">
        <f aca="false">IF($B762="","",C762*G762*(1-D762))</f>
        <v/>
      </c>
      <c r="I762" s="17" t="str">
        <f aca="false">IF($B762="","",C762*IFERROR(INDEX(Products!$E$2:$E$201,MATCH($B762,Products!$A$2:$A$201,0)),0))</f>
        <v/>
      </c>
      <c r="J762" s="17" t="str">
        <f aca="false">IF($B762="","",H762-I762)</f>
        <v/>
      </c>
      <c r="K762" s="16" t="str">
        <f aca="false">IF($A762="","",DATE(YEAR($A762),MONTH($A762),1))</f>
        <v/>
      </c>
    </row>
    <row r="763" customFormat="false" ht="15" hidden="false" customHeight="false" outlineLevel="0" collapsed="false">
      <c r="A763" s="25"/>
      <c r="B763" s="19"/>
      <c r="C763" s="19"/>
      <c r="D763" s="26"/>
      <c r="E763" s="27" t="str">
        <f aca="false">IF($B763="","",IFERROR(INDEX(Products!$B$2:$B$201,MATCH($B763,Products!$A$2:$A$201,0)),"Unknown code"))</f>
        <v/>
      </c>
      <c r="F763" s="22" t="str">
        <f aca="false">IF($B763="","",IFERROR(INDEX(Products!$C$2:$C$201,MATCH($B763,Products!$A$2:$A$201,0)),""))</f>
        <v/>
      </c>
      <c r="G763" s="17" t="str">
        <f aca="false">IF($B763="","",IFERROR(INDEX(Products!$D$2:$D$201,MATCH($B763,Products!$A$2:$A$201,0)),0))</f>
        <v/>
      </c>
      <c r="H763" s="17" t="str">
        <f aca="false">IF($B763="","",C763*G763*(1-D763))</f>
        <v/>
      </c>
      <c r="I763" s="17" t="str">
        <f aca="false">IF($B763="","",C763*IFERROR(INDEX(Products!$E$2:$E$201,MATCH($B763,Products!$A$2:$A$201,0)),0))</f>
        <v/>
      </c>
      <c r="J763" s="17" t="str">
        <f aca="false">IF($B763="","",H763-I763)</f>
        <v/>
      </c>
      <c r="K763" s="16" t="str">
        <f aca="false">IF($A763="","",DATE(YEAR($A763),MONTH($A763),1))</f>
        <v/>
      </c>
    </row>
    <row r="764" customFormat="false" ht="15" hidden="false" customHeight="false" outlineLevel="0" collapsed="false">
      <c r="A764" s="25"/>
      <c r="B764" s="19"/>
      <c r="C764" s="19"/>
      <c r="D764" s="26"/>
      <c r="E764" s="27" t="str">
        <f aca="false">IF($B764="","",IFERROR(INDEX(Products!$B$2:$B$201,MATCH($B764,Products!$A$2:$A$201,0)),"Unknown code"))</f>
        <v/>
      </c>
      <c r="F764" s="22" t="str">
        <f aca="false">IF($B764="","",IFERROR(INDEX(Products!$C$2:$C$201,MATCH($B764,Products!$A$2:$A$201,0)),""))</f>
        <v/>
      </c>
      <c r="G764" s="17" t="str">
        <f aca="false">IF($B764="","",IFERROR(INDEX(Products!$D$2:$D$201,MATCH($B764,Products!$A$2:$A$201,0)),0))</f>
        <v/>
      </c>
      <c r="H764" s="17" t="str">
        <f aca="false">IF($B764="","",C764*G764*(1-D764))</f>
        <v/>
      </c>
      <c r="I764" s="17" t="str">
        <f aca="false">IF($B764="","",C764*IFERROR(INDEX(Products!$E$2:$E$201,MATCH($B764,Products!$A$2:$A$201,0)),0))</f>
        <v/>
      </c>
      <c r="J764" s="17" t="str">
        <f aca="false">IF($B764="","",H764-I764)</f>
        <v/>
      </c>
      <c r="K764" s="16" t="str">
        <f aca="false">IF($A764="","",DATE(YEAR($A764),MONTH($A764),1))</f>
        <v/>
      </c>
    </row>
    <row r="765" customFormat="false" ht="15" hidden="false" customHeight="false" outlineLevel="0" collapsed="false">
      <c r="A765" s="25"/>
      <c r="B765" s="19"/>
      <c r="C765" s="19"/>
      <c r="D765" s="26"/>
      <c r="E765" s="27" t="str">
        <f aca="false">IF($B765="","",IFERROR(INDEX(Products!$B$2:$B$201,MATCH($B765,Products!$A$2:$A$201,0)),"Unknown code"))</f>
        <v/>
      </c>
      <c r="F765" s="22" t="str">
        <f aca="false">IF($B765="","",IFERROR(INDEX(Products!$C$2:$C$201,MATCH($B765,Products!$A$2:$A$201,0)),""))</f>
        <v/>
      </c>
      <c r="G765" s="17" t="str">
        <f aca="false">IF($B765="","",IFERROR(INDEX(Products!$D$2:$D$201,MATCH($B765,Products!$A$2:$A$201,0)),0))</f>
        <v/>
      </c>
      <c r="H765" s="17" t="str">
        <f aca="false">IF($B765="","",C765*G765*(1-D765))</f>
        <v/>
      </c>
      <c r="I765" s="17" t="str">
        <f aca="false">IF($B765="","",C765*IFERROR(INDEX(Products!$E$2:$E$201,MATCH($B765,Products!$A$2:$A$201,0)),0))</f>
        <v/>
      </c>
      <c r="J765" s="17" t="str">
        <f aca="false">IF($B765="","",H765-I765)</f>
        <v/>
      </c>
      <c r="K765" s="16" t="str">
        <f aca="false">IF($A765="","",DATE(YEAR($A765),MONTH($A765),1))</f>
        <v/>
      </c>
    </row>
    <row r="766" customFormat="false" ht="15" hidden="false" customHeight="false" outlineLevel="0" collapsed="false">
      <c r="A766" s="25"/>
      <c r="B766" s="19"/>
      <c r="C766" s="19"/>
      <c r="D766" s="26"/>
      <c r="E766" s="27" t="str">
        <f aca="false">IF($B766="","",IFERROR(INDEX(Products!$B$2:$B$201,MATCH($B766,Products!$A$2:$A$201,0)),"Unknown code"))</f>
        <v/>
      </c>
      <c r="F766" s="22" t="str">
        <f aca="false">IF($B766="","",IFERROR(INDEX(Products!$C$2:$C$201,MATCH($B766,Products!$A$2:$A$201,0)),""))</f>
        <v/>
      </c>
      <c r="G766" s="17" t="str">
        <f aca="false">IF($B766="","",IFERROR(INDEX(Products!$D$2:$D$201,MATCH($B766,Products!$A$2:$A$201,0)),0))</f>
        <v/>
      </c>
      <c r="H766" s="17" t="str">
        <f aca="false">IF($B766="","",C766*G766*(1-D766))</f>
        <v/>
      </c>
      <c r="I766" s="17" t="str">
        <f aca="false">IF($B766="","",C766*IFERROR(INDEX(Products!$E$2:$E$201,MATCH($B766,Products!$A$2:$A$201,0)),0))</f>
        <v/>
      </c>
      <c r="J766" s="17" t="str">
        <f aca="false">IF($B766="","",H766-I766)</f>
        <v/>
      </c>
      <c r="K766" s="16" t="str">
        <f aca="false">IF($A766="","",DATE(YEAR($A766),MONTH($A766),1))</f>
        <v/>
      </c>
    </row>
    <row r="767" customFormat="false" ht="15" hidden="false" customHeight="false" outlineLevel="0" collapsed="false">
      <c r="A767" s="25"/>
      <c r="B767" s="19"/>
      <c r="C767" s="19"/>
      <c r="D767" s="26"/>
      <c r="E767" s="27" t="str">
        <f aca="false">IF($B767="","",IFERROR(INDEX(Products!$B$2:$B$201,MATCH($B767,Products!$A$2:$A$201,0)),"Unknown code"))</f>
        <v/>
      </c>
      <c r="F767" s="22" t="str">
        <f aca="false">IF($B767="","",IFERROR(INDEX(Products!$C$2:$C$201,MATCH($B767,Products!$A$2:$A$201,0)),""))</f>
        <v/>
      </c>
      <c r="G767" s="17" t="str">
        <f aca="false">IF($B767="","",IFERROR(INDEX(Products!$D$2:$D$201,MATCH($B767,Products!$A$2:$A$201,0)),0))</f>
        <v/>
      </c>
      <c r="H767" s="17" t="str">
        <f aca="false">IF($B767="","",C767*G767*(1-D767))</f>
        <v/>
      </c>
      <c r="I767" s="17" t="str">
        <f aca="false">IF($B767="","",C767*IFERROR(INDEX(Products!$E$2:$E$201,MATCH($B767,Products!$A$2:$A$201,0)),0))</f>
        <v/>
      </c>
      <c r="J767" s="17" t="str">
        <f aca="false">IF($B767="","",H767-I767)</f>
        <v/>
      </c>
      <c r="K767" s="16" t="str">
        <f aca="false">IF($A767="","",DATE(YEAR($A767),MONTH($A767),1))</f>
        <v/>
      </c>
    </row>
    <row r="768" customFormat="false" ht="15" hidden="false" customHeight="false" outlineLevel="0" collapsed="false">
      <c r="A768" s="25"/>
      <c r="B768" s="19"/>
      <c r="C768" s="19"/>
      <c r="D768" s="26"/>
      <c r="E768" s="27" t="str">
        <f aca="false">IF($B768="","",IFERROR(INDEX(Products!$B$2:$B$201,MATCH($B768,Products!$A$2:$A$201,0)),"Unknown code"))</f>
        <v/>
      </c>
      <c r="F768" s="22" t="str">
        <f aca="false">IF($B768="","",IFERROR(INDEX(Products!$C$2:$C$201,MATCH($B768,Products!$A$2:$A$201,0)),""))</f>
        <v/>
      </c>
      <c r="G768" s="17" t="str">
        <f aca="false">IF($B768="","",IFERROR(INDEX(Products!$D$2:$D$201,MATCH($B768,Products!$A$2:$A$201,0)),0))</f>
        <v/>
      </c>
      <c r="H768" s="17" t="str">
        <f aca="false">IF($B768="","",C768*G768*(1-D768))</f>
        <v/>
      </c>
      <c r="I768" s="17" t="str">
        <f aca="false">IF($B768="","",C768*IFERROR(INDEX(Products!$E$2:$E$201,MATCH($B768,Products!$A$2:$A$201,0)),0))</f>
        <v/>
      </c>
      <c r="J768" s="17" t="str">
        <f aca="false">IF($B768="","",H768-I768)</f>
        <v/>
      </c>
      <c r="K768" s="16" t="str">
        <f aca="false">IF($A768="","",DATE(YEAR($A768),MONTH($A768),1))</f>
        <v/>
      </c>
    </row>
    <row r="769" customFormat="false" ht="15" hidden="false" customHeight="false" outlineLevel="0" collapsed="false">
      <c r="A769" s="25"/>
      <c r="B769" s="19"/>
      <c r="C769" s="19"/>
      <c r="D769" s="26"/>
      <c r="E769" s="27" t="str">
        <f aca="false">IF($B769="","",IFERROR(INDEX(Products!$B$2:$B$201,MATCH($B769,Products!$A$2:$A$201,0)),"Unknown code"))</f>
        <v/>
      </c>
      <c r="F769" s="22" t="str">
        <f aca="false">IF($B769="","",IFERROR(INDEX(Products!$C$2:$C$201,MATCH($B769,Products!$A$2:$A$201,0)),""))</f>
        <v/>
      </c>
      <c r="G769" s="17" t="str">
        <f aca="false">IF($B769="","",IFERROR(INDEX(Products!$D$2:$D$201,MATCH($B769,Products!$A$2:$A$201,0)),0))</f>
        <v/>
      </c>
      <c r="H769" s="17" t="str">
        <f aca="false">IF($B769="","",C769*G769*(1-D769))</f>
        <v/>
      </c>
      <c r="I769" s="17" t="str">
        <f aca="false">IF($B769="","",C769*IFERROR(INDEX(Products!$E$2:$E$201,MATCH($B769,Products!$A$2:$A$201,0)),0))</f>
        <v/>
      </c>
      <c r="J769" s="17" t="str">
        <f aca="false">IF($B769="","",H769-I769)</f>
        <v/>
      </c>
      <c r="K769" s="16" t="str">
        <f aca="false">IF($A769="","",DATE(YEAR($A769),MONTH($A769),1))</f>
        <v/>
      </c>
    </row>
    <row r="770" customFormat="false" ht="15" hidden="false" customHeight="false" outlineLevel="0" collapsed="false">
      <c r="A770" s="25"/>
      <c r="B770" s="19"/>
      <c r="C770" s="19"/>
      <c r="D770" s="26"/>
      <c r="E770" s="27" t="str">
        <f aca="false">IF($B770="","",IFERROR(INDEX(Products!$B$2:$B$201,MATCH($B770,Products!$A$2:$A$201,0)),"Unknown code"))</f>
        <v/>
      </c>
      <c r="F770" s="22" t="str">
        <f aca="false">IF($B770="","",IFERROR(INDEX(Products!$C$2:$C$201,MATCH($B770,Products!$A$2:$A$201,0)),""))</f>
        <v/>
      </c>
      <c r="G770" s="17" t="str">
        <f aca="false">IF($B770="","",IFERROR(INDEX(Products!$D$2:$D$201,MATCH($B770,Products!$A$2:$A$201,0)),0))</f>
        <v/>
      </c>
      <c r="H770" s="17" t="str">
        <f aca="false">IF($B770="","",C770*G770*(1-D770))</f>
        <v/>
      </c>
      <c r="I770" s="17" t="str">
        <f aca="false">IF($B770="","",C770*IFERROR(INDEX(Products!$E$2:$E$201,MATCH($B770,Products!$A$2:$A$201,0)),0))</f>
        <v/>
      </c>
      <c r="J770" s="17" t="str">
        <f aca="false">IF($B770="","",H770-I770)</f>
        <v/>
      </c>
      <c r="K770" s="16" t="str">
        <f aca="false">IF($A770="","",DATE(YEAR($A770),MONTH($A770),1))</f>
        <v/>
      </c>
    </row>
    <row r="771" customFormat="false" ht="15" hidden="false" customHeight="false" outlineLevel="0" collapsed="false">
      <c r="A771" s="25"/>
      <c r="B771" s="19"/>
      <c r="C771" s="19"/>
      <c r="D771" s="26"/>
      <c r="E771" s="27" t="str">
        <f aca="false">IF($B771="","",IFERROR(INDEX(Products!$B$2:$B$201,MATCH($B771,Products!$A$2:$A$201,0)),"Unknown code"))</f>
        <v/>
      </c>
      <c r="F771" s="22" t="str">
        <f aca="false">IF($B771="","",IFERROR(INDEX(Products!$C$2:$C$201,MATCH($B771,Products!$A$2:$A$201,0)),""))</f>
        <v/>
      </c>
      <c r="G771" s="17" t="str">
        <f aca="false">IF($B771="","",IFERROR(INDEX(Products!$D$2:$D$201,MATCH($B771,Products!$A$2:$A$201,0)),0))</f>
        <v/>
      </c>
      <c r="H771" s="17" t="str">
        <f aca="false">IF($B771="","",C771*G771*(1-D771))</f>
        <v/>
      </c>
      <c r="I771" s="17" t="str">
        <f aca="false">IF($B771="","",C771*IFERROR(INDEX(Products!$E$2:$E$201,MATCH($B771,Products!$A$2:$A$201,0)),0))</f>
        <v/>
      </c>
      <c r="J771" s="17" t="str">
        <f aca="false">IF($B771="","",H771-I771)</f>
        <v/>
      </c>
      <c r="K771" s="16" t="str">
        <f aca="false">IF($A771="","",DATE(YEAR($A771),MONTH($A771),1))</f>
        <v/>
      </c>
    </row>
    <row r="772" customFormat="false" ht="15" hidden="false" customHeight="false" outlineLevel="0" collapsed="false">
      <c r="A772" s="25"/>
      <c r="B772" s="19"/>
      <c r="C772" s="19"/>
      <c r="D772" s="26"/>
      <c r="E772" s="27" t="str">
        <f aca="false">IF($B772="","",IFERROR(INDEX(Products!$B$2:$B$201,MATCH($B772,Products!$A$2:$A$201,0)),"Unknown code"))</f>
        <v/>
      </c>
      <c r="F772" s="22" t="str">
        <f aca="false">IF($B772="","",IFERROR(INDEX(Products!$C$2:$C$201,MATCH($B772,Products!$A$2:$A$201,0)),""))</f>
        <v/>
      </c>
      <c r="G772" s="17" t="str">
        <f aca="false">IF($B772="","",IFERROR(INDEX(Products!$D$2:$D$201,MATCH($B772,Products!$A$2:$A$201,0)),0))</f>
        <v/>
      </c>
      <c r="H772" s="17" t="str">
        <f aca="false">IF($B772="","",C772*G772*(1-D772))</f>
        <v/>
      </c>
      <c r="I772" s="17" t="str">
        <f aca="false">IF($B772="","",C772*IFERROR(INDEX(Products!$E$2:$E$201,MATCH($B772,Products!$A$2:$A$201,0)),0))</f>
        <v/>
      </c>
      <c r="J772" s="17" t="str">
        <f aca="false">IF($B772="","",H772-I772)</f>
        <v/>
      </c>
      <c r="K772" s="16" t="str">
        <f aca="false">IF($A772="","",DATE(YEAR($A772),MONTH($A772),1))</f>
        <v/>
      </c>
    </row>
    <row r="773" customFormat="false" ht="15" hidden="false" customHeight="false" outlineLevel="0" collapsed="false">
      <c r="A773" s="25"/>
      <c r="B773" s="19"/>
      <c r="C773" s="19"/>
      <c r="D773" s="26"/>
      <c r="E773" s="27" t="str">
        <f aca="false">IF($B773="","",IFERROR(INDEX(Products!$B$2:$B$201,MATCH($B773,Products!$A$2:$A$201,0)),"Unknown code"))</f>
        <v/>
      </c>
      <c r="F773" s="22" t="str">
        <f aca="false">IF($B773="","",IFERROR(INDEX(Products!$C$2:$C$201,MATCH($B773,Products!$A$2:$A$201,0)),""))</f>
        <v/>
      </c>
      <c r="G773" s="17" t="str">
        <f aca="false">IF($B773="","",IFERROR(INDEX(Products!$D$2:$D$201,MATCH($B773,Products!$A$2:$A$201,0)),0))</f>
        <v/>
      </c>
      <c r="H773" s="17" t="str">
        <f aca="false">IF($B773="","",C773*G773*(1-D773))</f>
        <v/>
      </c>
      <c r="I773" s="17" t="str">
        <f aca="false">IF($B773="","",C773*IFERROR(INDEX(Products!$E$2:$E$201,MATCH($B773,Products!$A$2:$A$201,0)),0))</f>
        <v/>
      </c>
      <c r="J773" s="17" t="str">
        <f aca="false">IF($B773="","",H773-I773)</f>
        <v/>
      </c>
      <c r="K773" s="16" t="str">
        <f aca="false">IF($A773="","",DATE(YEAR($A773),MONTH($A773),1))</f>
        <v/>
      </c>
    </row>
    <row r="774" customFormat="false" ht="15" hidden="false" customHeight="false" outlineLevel="0" collapsed="false">
      <c r="A774" s="25"/>
      <c r="B774" s="19"/>
      <c r="C774" s="19"/>
      <c r="D774" s="26"/>
      <c r="E774" s="27" t="str">
        <f aca="false">IF($B774="","",IFERROR(INDEX(Products!$B$2:$B$201,MATCH($B774,Products!$A$2:$A$201,0)),"Unknown code"))</f>
        <v/>
      </c>
      <c r="F774" s="22" t="str">
        <f aca="false">IF($B774="","",IFERROR(INDEX(Products!$C$2:$C$201,MATCH($B774,Products!$A$2:$A$201,0)),""))</f>
        <v/>
      </c>
      <c r="G774" s="17" t="str">
        <f aca="false">IF($B774="","",IFERROR(INDEX(Products!$D$2:$D$201,MATCH($B774,Products!$A$2:$A$201,0)),0))</f>
        <v/>
      </c>
      <c r="H774" s="17" t="str">
        <f aca="false">IF($B774="","",C774*G774*(1-D774))</f>
        <v/>
      </c>
      <c r="I774" s="17" t="str">
        <f aca="false">IF($B774="","",C774*IFERROR(INDEX(Products!$E$2:$E$201,MATCH($B774,Products!$A$2:$A$201,0)),0))</f>
        <v/>
      </c>
      <c r="J774" s="17" t="str">
        <f aca="false">IF($B774="","",H774-I774)</f>
        <v/>
      </c>
      <c r="K774" s="16" t="str">
        <f aca="false">IF($A774="","",DATE(YEAR($A774),MONTH($A774),1))</f>
        <v/>
      </c>
    </row>
    <row r="775" customFormat="false" ht="15" hidden="false" customHeight="false" outlineLevel="0" collapsed="false">
      <c r="A775" s="25"/>
      <c r="B775" s="19"/>
      <c r="C775" s="19"/>
      <c r="D775" s="26"/>
      <c r="E775" s="27" t="str">
        <f aca="false">IF($B775="","",IFERROR(INDEX(Products!$B$2:$B$201,MATCH($B775,Products!$A$2:$A$201,0)),"Unknown code"))</f>
        <v/>
      </c>
      <c r="F775" s="22" t="str">
        <f aca="false">IF($B775="","",IFERROR(INDEX(Products!$C$2:$C$201,MATCH($B775,Products!$A$2:$A$201,0)),""))</f>
        <v/>
      </c>
      <c r="G775" s="17" t="str">
        <f aca="false">IF($B775="","",IFERROR(INDEX(Products!$D$2:$D$201,MATCH($B775,Products!$A$2:$A$201,0)),0))</f>
        <v/>
      </c>
      <c r="H775" s="17" t="str">
        <f aca="false">IF($B775="","",C775*G775*(1-D775))</f>
        <v/>
      </c>
      <c r="I775" s="17" t="str">
        <f aca="false">IF($B775="","",C775*IFERROR(INDEX(Products!$E$2:$E$201,MATCH($B775,Products!$A$2:$A$201,0)),0))</f>
        <v/>
      </c>
      <c r="J775" s="17" t="str">
        <f aca="false">IF($B775="","",H775-I775)</f>
        <v/>
      </c>
      <c r="K775" s="16" t="str">
        <f aca="false">IF($A775="","",DATE(YEAR($A775),MONTH($A775),1))</f>
        <v/>
      </c>
    </row>
    <row r="776" customFormat="false" ht="15" hidden="false" customHeight="false" outlineLevel="0" collapsed="false">
      <c r="A776" s="25"/>
      <c r="B776" s="19"/>
      <c r="C776" s="19"/>
      <c r="D776" s="26"/>
      <c r="E776" s="27" t="str">
        <f aca="false">IF($B776="","",IFERROR(INDEX(Products!$B$2:$B$201,MATCH($B776,Products!$A$2:$A$201,0)),"Unknown code"))</f>
        <v/>
      </c>
      <c r="F776" s="22" t="str">
        <f aca="false">IF($B776="","",IFERROR(INDEX(Products!$C$2:$C$201,MATCH($B776,Products!$A$2:$A$201,0)),""))</f>
        <v/>
      </c>
      <c r="G776" s="17" t="str">
        <f aca="false">IF($B776="","",IFERROR(INDEX(Products!$D$2:$D$201,MATCH($B776,Products!$A$2:$A$201,0)),0))</f>
        <v/>
      </c>
      <c r="H776" s="17" t="str">
        <f aca="false">IF($B776="","",C776*G776*(1-D776))</f>
        <v/>
      </c>
      <c r="I776" s="17" t="str">
        <f aca="false">IF($B776="","",C776*IFERROR(INDEX(Products!$E$2:$E$201,MATCH($B776,Products!$A$2:$A$201,0)),0))</f>
        <v/>
      </c>
      <c r="J776" s="17" t="str">
        <f aca="false">IF($B776="","",H776-I776)</f>
        <v/>
      </c>
      <c r="K776" s="16" t="str">
        <f aca="false">IF($A776="","",DATE(YEAR($A776),MONTH($A776),1))</f>
        <v/>
      </c>
    </row>
    <row r="777" customFormat="false" ht="15" hidden="false" customHeight="false" outlineLevel="0" collapsed="false">
      <c r="A777" s="25"/>
      <c r="B777" s="19"/>
      <c r="C777" s="19"/>
      <c r="D777" s="26"/>
      <c r="E777" s="27" t="str">
        <f aca="false">IF($B777="","",IFERROR(INDEX(Products!$B$2:$B$201,MATCH($B777,Products!$A$2:$A$201,0)),"Unknown code"))</f>
        <v/>
      </c>
      <c r="F777" s="22" t="str">
        <f aca="false">IF($B777="","",IFERROR(INDEX(Products!$C$2:$C$201,MATCH($B777,Products!$A$2:$A$201,0)),""))</f>
        <v/>
      </c>
      <c r="G777" s="17" t="str">
        <f aca="false">IF($B777="","",IFERROR(INDEX(Products!$D$2:$D$201,MATCH($B777,Products!$A$2:$A$201,0)),0))</f>
        <v/>
      </c>
      <c r="H777" s="17" t="str">
        <f aca="false">IF($B777="","",C777*G777*(1-D777))</f>
        <v/>
      </c>
      <c r="I777" s="17" t="str">
        <f aca="false">IF($B777="","",C777*IFERROR(INDEX(Products!$E$2:$E$201,MATCH($B777,Products!$A$2:$A$201,0)),0))</f>
        <v/>
      </c>
      <c r="J777" s="17" t="str">
        <f aca="false">IF($B777="","",H777-I777)</f>
        <v/>
      </c>
      <c r="K777" s="16" t="str">
        <f aca="false">IF($A777="","",DATE(YEAR($A777),MONTH($A777),1))</f>
        <v/>
      </c>
    </row>
    <row r="778" customFormat="false" ht="15" hidden="false" customHeight="false" outlineLevel="0" collapsed="false">
      <c r="A778" s="25"/>
      <c r="B778" s="19"/>
      <c r="C778" s="19"/>
      <c r="D778" s="26"/>
      <c r="E778" s="27" t="str">
        <f aca="false">IF($B778="","",IFERROR(INDEX(Products!$B$2:$B$201,MATCH($B778,Products!$A$2:$A$201,0)),"Unknown code"))</f>
        <v/>
      </c>
      <c r="F778" s="22" t="str">
        <f aca="false">IF($B778="","",IFERROR(INDEX(Products!$C$2:$C$201,MATCH($B778,Products!$A$2:$A$201,0)),""))</f>
        <v/>
      </c>
      <c r="G778" s="17" t="str">
        <f aca="false">IF($B778="","",IFERROR(INDEX(Products!$D$2:$D$201,MATCH($B778,Products!$A$2:$A$201,0)),0))</f>
        <v/>
      </c>
      <c r="H778" s="17" t="str">
        <f aca="false">IF($B778="","",C778*G778*(1-D778))</f>
        <v/>
      </c>
      <c r="I778" s="17" t="str">
        <f aca="false">IF($B778="","",C778*IFERROR(INDEX(Products!$E$2:$E$201,MATCH($B778,Products!$A$2:$A$201,0)),0))</f>
        <v/>
      </c>
      <c r="J778" s="17" t="str">
        <f aca="false">IF($B778="","",H778-I778)</f>
        <v/>
      </c>
      <c r="K778" s="16" t="str">
        <f aca="false">IF($A778="","",DATE(YEAR($A778),MONTH($A778),1))</f>
        <v/>
      </c>
    </row>
    <row r="779" customFormat="false" ht="15" hidden="false" customHeight="false" outlineLevel="0" collapsed="false">
      <c r="A779" s="25"/>
      <c r="B779" s="19"/>
      <c r="C779" s="19"/>
      <c r="D779" s="26"/>
      <c r="E779" s="27" t="str">
        <f aca="false">IF($B779="","",IFERROR(INDEX(Products!$B$2:$B$201,MATCH($B779,Products!$A$2:$A$201,0)),"Unknown code"))</f>
        <v/>
      </c>
      <c r="F779" s="22" t="str">
        <f aca="false">IF($B779="","",IFERROR(INDEX(Products!$C$2:$C$201,MATCH($B779,Products!$A$2:$A$201,0)),""))</f>
        <v/>
      </c>
      <c r="G779" s="17" t="str">
        <f aca="false">IF($B779="","",IFERROR(INDEX(Products!$D$2:$D$201,MATCH($B779,Products!$A$2:$A$201,0)),0))</f>
        <v/>
      </c>
      <c r="H779" s="17" t="str">
        <f aca="false">IF($B779="","",C779*G779*(1-D779))</f>
        <v/>
      </c>
      <c r="I779" s="17" t="str">
        <f aca="false">IF($B779="","",C779*IFERROR(INDEX(Products!$E$2:$E$201,MATCH($B779,Products!$A$2:$A$201,0)),0))</f>
        <v/>
      </c>
      <c r="J779" s="17" t="str">
        <f aca="false">IF($B779="","",H779-I779)</f>
        <v/>
      </c>
      <c r="K779" s="16" t="str">
        <f aca="false">IF($A779="","",DATE(YEAR($A779),MONTH($A779),1))</f>
        <v/>
      </c>
    </row>
    <row r="780" customFormat="false" ht="15" hidden="false" customHeight="false" outlineLevel="0" collapsed="false">
      <c r="A780" s="25"/>
      <c r="B780" s="19"/>
      <c r="C780" s="19"/>
      <c r="D780" s="26"/>
      <c r="E780" s="27" t="str">
        <f aca="false">IF($B780="","",IFERROR(INDEX(Products!$B$2:$B$201,MATCH($B780,Products!$A$2:$A$201,0)),"Unknown code"))</f>
        <v/>
      </c>
      <c r="F780" s="22" t="str">
        <f aca="false">IF($B780="","",IFERROR(INDEX(Products!$C$2:$C$201,MATCH($B780,Products!$A$2:$A$201,0)),""))</f>
        <v/>
      </c>
      <c r="G780" s="17" t="str">
        <f aca="false">IF($B780="","",IFERROR(INDEX(Products!$D$2:$D$201,MATCH($B780,Products!$A$2:$A$201,0)),0))</f>
        <v/>
      </c>
      <c r="H780" s="17" t="str">
        <f aca="false">IF($B780="","",C780*G780*(1-D780))</f>
        <v/>
      </c>
      <c r="I780" s="17" t="str">
        <f aca="false">IF($B780="","",C780*IFERROR(INDEX(Products!$E$2:$E$201,MATCH($B780,Products!$A$2:$A$201,0)),0))</f>
        <v/>
      </c>
      <c r="J780" s="17" t="str">
        <f aca="false">IF($B780="","",H780-I780)</f>
        <v/>
      </c>
      <c r="K780" s="16" t="str">
        <f aca="false">IF($A780="","",DATE(YEAR($A780),MONTH($A780),1))</f>
        <v/>
      </c>
    </row>
    <row r="781" customFormat="false" ht="15" hidden="false" customHeight="false" outlineLevel="0" collapsed="false">
      <c r="A781" s="25"/>
      <c r="B781" s="19"/>
      <c r="C781" s="19"/>
      <c r="D781" s="26"/>
      <c r="E781" s="27" t="str">
        <f aca="false">IF($B781="","",IFERROR(INDEX(Products!$B$2:$B$201,MATCH($B781,Products!$A$2:$A$201,0)),"Unknown code"))</f>
        <v/>
      </c>
      <c r="F781" s="22" t="str">
        <f aca="false">IF($B781="","",IFERROR(INDEX(Products!$C$2:$C$201,MATCH($B781,Products!$A$2:$A$201,0)),""))</f>
        <v/>
      </c>
      <c r="G781" s="17" t="str">
        <f aca="false">IF($B781="","",IFERROR(INDEX(Products!$D$2:$D$201,MATCH($B781,Products!$A$2:$A$201,0)),0))</f>
        <v/>
      </c>
      <c r="H781" s="17" t="str">
        <f aca="false">IF($B781="","",C781*G781*(1-D781))</f>
        <v/>
      </c>
      <c r="I781" s="17" t="str">
        <f aca="false">IF($B781="","",C781*IFERROR(INDEX(Products!$E$2:$E$201,MATCH($B781,Products!$A$2:$A$201,0)),0))</f>
        <v/>
      </c>
      <c r="J781" s="17" t="str">
        <f aca="false">IF($B781="","",H781-I781)</f>
        <v/>
      </c>
      <c r="K781" s="16" t="str">
        <f aca="false">IF($A781="","",DATE(YEAR($A781),MONTH($A781),1))</f>
        <v/>
      </c>
    </row>
    <row r="782" customFormat="false" ht="15" hidden="false" customHeight="false" outlineLevel="0" collapsed="false">
      <c r="A782" s="25"/>
      <c r="B782" s="19"/>
      <c r="C782" s="19"/>
      <c r="D782" s="26"/>
      <c r="E782" s="27" t="str">
        <f aca="false">IF($B782="","",IFERROR(INDEX(Products!$B$2:$B$201,MATCH($B782,Products!$A$2:$A$201,0)),"Unknown code"))</f>
        <v/>
      </c>
      <c r="F782" s="22" t="str">
        <f aca="false">IF($B782="","",IFERROR(INDEX(Products!$C$2:$C$201,MATCH($B782,Products!$A$2:$A$201,0)),""))</f>
        <v/>
      </c>
      <c r="G782" s="17" t="str">
        <f aca="false">IF($B782="","",IFERROR(INDEX(Products!$D$2:$D$201,MATCH($B782,Products!$A$2:$A$201,0)),0))</f>
        <v/>
      </c>
      <c r="H782" s="17" t="str">
        <f aca="false">IF($B782="","",C782*G782*(1-D782))</f>
        <v/>
      </c>
      <c r="I782" s="17" t="str">
        <f aca="false">IF($B782="","",C782*IFERROR(INDEX(Products!$E$2:$E$201,MATCH($B782,Products!$A$2:$A$201,0)),0))</f>
        <v/>
      </c>
      <c r="J782" s="17" t="str">
        <f aca="false">IF($B782="","",H782-I782)</f>
        <v/>
      </c>
      <c r="K782" s="16" t="str">
        <f aca="false">IF($A782="","",DATE(YEAR($A782),MONTH($A782),1))</f>
        <v/>
      </c>
    </row>
    <row r="783" customFormat="false" ht="15" hidden="false" customHeight="false" outlineLevel="0" collapsed="false">
      <c r="A783" s="25"/>
      <c r="B783" s="19"/>
      <c r="C783" s="19"/>
      <c r="D783" s="26"/>
      <c r="E783" s="27" t="str">
        <f aca="false">IF($B783="","",IFERROR(INDEX(Products!$B$2:$B$201,MATCH($B783,Products!$A$2:$A$201,0)),"Unknown code"))</f>
        <v/>
      </c>
      <c r="F783" s="22" t="str">
        <f aca="false">IF($B783="","",IFERROR(INDEX(Products!$C$2:$C$201,MATCH($B783,Products!$A$2:$A$201,0)),""))</f>
        <v/>
      </c>
      <c r="G783" s="17" t="str">
        <f aca="false">IF($B783="","",IFERROR(INDEX(Products!$D$2:$D$201,MATCH($B783,Products!$A$2:$A$201,0)),0))</f>
        <v/>
      </c>
      <c r="H783" s="17" t="str">
        <f aca="false">IF($B783="","",C783*G783*(1-D783))</f>
        <v/>
      </c>
      <c r="I783" s="17" t="str">
        <f aca="false">IF($B783="","",C783*IFERROR(INDEX(Products!$E$2:$E$201,MATCH($B783,Products!$A$2:$A$201,0)),0))</f>
        <v/>
      </c>
      <c r="J783" s="17" t="str">
        <f aca="false">IF($B783="","",H783-I783)</f>
        <v/>
      </c>
      <c r="K783" s="16" t="str">
        <f aca="false">IF($A783="","",DATE(YEAR($A783),MONTH($A783),1))</f>
        <v/>
      </c>
    </row>
    <row r="784" customFormat="false" ht="15" hidden="false" customHeight="false" outlineLevel="0" collapsed="false">
      <c r="A784" s="25"/>
      <c r="B784" s="19"/>
      <c r="C784" s="19"/>
      <c r="D784" s="26"/>
      <c r="E784" s="27" t="str">
        <f aca="false">IF($B784="","",IFERROR(INDEX(Products!$B$2:$B$201,MATCH($B784,Products!$A$2:$A$201,0)),"Unknown code"))</f>
        <v/>
      </c>
      <c r="F784" s="22" t="str">
        <f aca="false">IF($B784="","",IFERROR(INDEX(Products!$C$2:$C$201,MATCH($B784,Products!$A$2:$A$201,0)),""))</f>
        <v/>
      </c>
      <c r="G784" s="17" t="str">
        <f aca="false">IF($B784="","",IFERROR(INDEX(Products!$D$2:$D$201,MATCH($B784,Products!$A$2:$A$201,0)),0))</f>
        <v/>
      </c>
      <c r="H784" s="17" t="str">
        <f aca="false">IF($B784="","",C784*G784*(1-D784))</f>
        <v/>
      </c>
      <c r="I784" s="17" t="str">
        <f aca="false">IF($B784="","",C784*IFERROR(INDEX(Products!$E$2:$E$201,MATCH($B784,Products!$A$2:$A$201,0)),0))</f>
        <v/>
      </c>
      <c r="J784" s="17" t="str">
        <f aca="false">IF($B784="","",H784-I784)</f>
        <v/>
      </c>
      <c r="K784" s="16" t="str">
        <f aca="false">IF($A784="","",DATE(YEAR($A784),MONTH($A784),1))</f>
        <v/>
      </c>
    </row>
    <row r="785" customFormat="false" ht="15" hidden="false" customHeight="false" outlineLevel="0" collapsed="false">
      <c r="A785" s="25"/>
      <c r="B785" s="19"/>
      <c r="C785" s="19"/>
      <c r="D785" s="26"/>
      <c r="E785" s="27" t="str">
        <f aca="false">IF($B785="","",IFERROR(INDEX(Products!$B$2:$B$201,MATCH($B785,Products!$A$2:$A$201,0)),"Unknown code"))</f>
        <v/>
      </c>
      <c r="F785" s="22" t="str">
        <f aca="false">IF($B785="","",IFERROR(INDEX(Products!$C$2:$C$201,MATCH($B785,Products!$A$2:$A$201,0)),""))</f>
        <v/>
      </c>
      <c r="G785" s="17" t="str">
        <f aca="false">IF($B785="","",IFERROR(INDEX(Products!$D$2:$D$201,MATCH($B785,Products!$A$2:$A$201,0)),0))</f>
        <v/>
      </c>
      <c r="H785" s="17" t="str">
        <f aca="false">IF($B785="","",C785*G785*(1-D785))</f>
        <v/>
      </c>
      <c r="I785" s="17" t="str">
        <f aca="false">IF($B785="","",C785*IFERROR(INDEX(Products!$E$2:$E$201,MATCH($B785,Products!$A$2:$A$201,0)),0))</f>
        <v/>
      </c>
      <c r="J785" s="17" t="str">
        <f aca="false">IF($B785="","",H785-I785)</f>
        <v/>
      </c>
      <c r="K785" s="16" t="str">
        <f aca="false">IF($A785="","",DATE(YEAR($A785),MONTH($A785),1))</f>
        <v/>
      </c>
    </row>
    <row r="786" customFormat="false" ht="15" hidden="false" customHeight="false" outlineLevel="0" collapsed="false">
      <c r="A786" s="25"/>
      <c r="B786" s="19"/>
      <c r="C786" s="19"/>
      <c r="D786" s="26"/>
      <c r="E786" s="27" t="str">
        <f aca="false">IF($B786="","",IFERROR(INDEX(Products!$B$2:$B$201,MATCH($B786,Products!$A$2:$A$201,0)),"Unknown code"))</f>
        <v/>
      </c>
      <c r="F786" s="22" t="str">
        <f aca="false">IF($B786="","",IFERROR(INDEX(Products!$C$2:$C$201,MATCH($B786,Products!$A$2:$A$201,0)),""))</f>
        <v/>
      </c>
      <c r="G786" s="17" t="str">
        <f aca="false">IF($B786="","",IFERROR(INDEX(Products!$D$2:$D$201,MATCH($B786,Products!$A$2:$A$201,0)),0))</f>
        <v/>
      </c>
      <c r="H786" s="17" t="str">
        <f aca="false">IF($B786="","",C786*G786*(1-D786))</f>
        <v/>
      </c>
      <c r="I786" s="17" t="str">
        <f aca="false">IF($B786="","",C786*IFERROR(INDEX(Products!$E$2:$E$201,MATCH($B786,Products!$A$2:$A$201,0)),0))</f>
        <v/>
      </c>
      <c r="J786" s="17" t="str">
        <f aca="false">IF($B786="","",H786-I786)</f>
        <v/>
      </c>
      <c r="K786" s="16" t="str">
        <f aca="false">IF($A786="","",DATE(YEAR($A786),MONTH($A786),1))</f>
        <v/>
      </c>
    </row>
    <row r="787" customFormat="false" ht="15" hidden="false" customHeight="false" outlineLevel="0" collapsed="false">
      <c r="A787" s="25"/>
      <c r="B787" s="19"/>
      <c r="C787" s="19"/>
      <c r="D787" s="26"/>
      <c r="E787" s="27" t="str">
        <f aca="false">IF($B787="","",IFERROR(INDEX(Products!$B$2:$B$201,MATCH($B787,Products!$A$2:$A$201,0)),"Unknown code"))</f>
        <v/>
      </c>
      <c r="F787" s="22" t="str">
        <f aca="false">IF($B787="","",IFERROR(INDEX(Products!$C$2:$C$201,MATCH($B787,Products!$A$2:$A$201,0)),""))</f>
        <v/>
      </c>
      <c r="G787" s="17" t="str">
        <f aca="false">IF($B787="","",IFERROR(INDEX(Products!$D$2:$D$201,MATCH($B787,Products!$A$2:$A$201,0)),0))</f>
        <v/>
      </c>
      <c r="H787" s="17" t="str">
        <f aca="false">IF($B787="","",C787*G787*(1-D787))</f>
        <v/>
      </c>
      <c r="I787" s="17" t="str">
        <f aca="false">IF($B787="","",C787*IFERROR(INDEX(Products!$E$2:$E$201,MATCH($B787,Products!$A$2:$A$201,0)),0))</f>
        <v/>
      </c>
      <c r="J787" s="17" t="str">
        <f aca="false">IF($B787="","",H787-I787)</f>
        <v/>
      </c>
      <c r="K787" s="16" t="str">
        <f aca="false">IF($A787="","",DATE(YEAR($A787),MONTH($A787),1))</f>
        <v/>
      </c>
    </row>
    <row r="788" customFormat="false" ht="15" hidden="false" customHeight="false" outlineLevel="0" collapsed="false">
      <c r="A788" s="25"/>
      <c r="B788" s="19"/>
      <c r="C788" s="19"/>
      <c r="D788" s="26"/>
      <c r="E788" s="27" t="str">
        <f aca="false">IF($B788="","",IFERROR(INDEX(Products!$B$2:$B$201,MATCH($B788,Products!$A$2:$A$201,0)),"Unknown code"))</f>
        <v/>
      </c>
      <c r="F788" s="22" t="str">
        <f aca="false">IF($B788="","",IFERROR(INDEX(Products!$C$2:$C$201,MATCH($B788,Products!$A$2:$A$201,0)),""))</f>
        <v/>
      </c>
      <c r="G788" s="17" t="str">
        <f aca="false">IF($B788="","",IFERROR(INDEX(Products!$D$2:$D$201,MATCH($B788,Products!$A$2:$A$201,0)),0))</f>
        <v/>
      </c>
      <c r="H788" s="17" t="str">
        <f aca="false">IF($B788="","",C788*G788*(1-D788))</f>
        <v/>
      </c>
      <c r="I788" s="17" t="str">
        <f aca="false">IF($B788="","",C788*IFERROR(INDEX(Products!$E$2:$E$201,MATCH($B788,Products!$A$2:$A$201,0)),0))</f>
        <v/>
      </c>
      <c r="J788" s="17" t="str">
        <f aca="false">IF($B788="","",H788-I788)</f>
        <v/>
      </c>
      <c r="K788" s="16" t="str">
        <f aca="false">IF($A788="","",DATE(YEAR($A788),MONTH($A788),1))</f>
        <v/>
      </c>
    </row>
    <row r="789" customFormat="false" ht="15" hidden="false" customHeight="false" outlineLevel="0" collapsed="false">
      <c r="A789" s="25"/>
      <c r="B789" s="19"/>
      <c r="C789" s="19"/>
      <c r="D789" s="26"/>
      <c r="E789" s="27" t="str">
        <f aca="false">IF($B789="","",IFERROR(INDEX(Products!$B$2:$B$201,MATCH($B789,Products!$A$2:$A$201,0)),"Unknown code"))</f>
        <v/>
      </c>
      <c r="F789" s="22" t="str">
        <f aca="false">IF($B789="","",IFERROR(INDEX(Products!$C$2:$C$201,MATCH($B789,Products!$A$2:$A$201,0)),""))</f>
        <v/>
      </c>
      <c r="G789" s="17" t="str">
        <f aca="false">IF($B789="","",IFERROR(INDEX(Products!$D$2:$D$201,MATCH($B789,Products!$A$2:$A$201,0)),0))</f>
        <v/>
      </c>
      <c r="H789" s="17" t="str">
        <f aca="false">IF($B789="","",C789*G789*(1-D789))</f>
        <v/>
      </c>
      <c r="I789" s="17" t="str">
        <f aca="false">IF($B789="","",C789*IFERROR(INDEX(Products!$E$2:$E$201,MATCH($B789,Products!$A$2:$A$201,0)),0))</f>
        <v/>
      </c>
      <c r="J789" s="17" t="str">
        <f aca="false">IF($B789="","",H789-I789)</f>
        <v/>
      </c>
      <c r="K789" s="16" t="str">
        <f aca="false">IF($A789="","",DATE(YEAR($A789),MONTH($A789),1))</f>
        <v/>
      </c>
    </row>
    <row r="790" customFormat="false" ht="15" hidden="false" customHeight="false" outlineLevel="0" collapsed="false">
      <c r="A790" s="25"/>
      <c r="B790" s="19"/>
      <c r="C790" s="19"/>
      <c r="D790" s="26"/>
      <c r="E790" s="27" t="str">
        <f aca="false">IF($B790="","",IFERROR(INDEX(Products!$B$2:$B$201,MATCH($B790,Products!$A$2:$A$201,0)),"Unknown code"))</f>
        <v/>
      </c>
      <c r="F790" s="22" t="str">
        <f aca="false">IF($B790="","",IFERROR(INDEX(Products!$C$2:$C$201,MATCH($B790,Products!$A$2:$A$201,0)),""))</f>
        <v/>
      </c>
      <c r="G790" s="17" t="str">
        <f aca="false">IF($B790="","",IFERROR(INDEX(Products!$D$2:$D$201,MATCH($B790,Products!$A$2:$A$201,0)),0))</f>
        <v/>
      </c>
      <c r="H790" s="17" t="str">
        <f aca="false">IF($B790="","",C790*G790*(1-D790))</f>
        <v/>
      </c>
      <c r="I790" s="17" t="str">
        <f aca="false">IF($B790="","",C790*IFERROR(INDEX(Products!$E$2:$E$201,MATCH($B790,Products!$A$2:$A$201,0)),0))</f>
        <v/>
      </c>
      <c r="J790" s="17" t="str">
        <f aca="false">IF($B790="","",H790-I790)</f>
        <v/>
      </c>
      <c r="K790" s="16" t="str">
        <f aca="false">IF($A790="","",DATE(YEAR($A790),MONTH($A790),1))</f>
        <v/>
      </c>
    </row>
    <row r="791" customFormat="false" ht="15" hidden="false" customHeight="false" outlineLevel="0" collapsed="false">
      <c r="A791" s="25"/>
      <c r="B791" s="19"/>
      <c r="C791" s="19"/>
      <c r="D791" s="26"/>
      <c r="E791" s="27" t="str">
        <f aca="false">IF($B791="","",IFERROR(INDEX(Products!$B$2:$B$201,MATCH($B791,Products!$A$2:$A$201,0)),"Unknown code"))</f>
        <v/>
      </c>
      <c r="F791" s="22" t="str">
        <f aca="false">IF($B791="","",IFERROR(INDEX(Products!$C$2:$C$201,MATCH($B791,Products!$A$2:$A$201,0)),""))</f>
        <v/>
      </c>
      <c r="G791" s="17" t="str">
        <f aca="false">IF($B791="","",IFERROR(INDEX(Products!$D$2:$D$201,MATCH($B791,Products!$A$2:$A$201,0)),0))</f>
        <v/>
      </c>
      <c r="H791" s="17" t="str">
        <f aca="false">IF($B791="","",C791*G791*(1-D791))</f>
        <v/>
      </c>
      <c r="I791" s="17" t="str">
        <f aca="false">IF($B791="","",C791*IFERROR(INDEX(Products!$E$2:$E$201,MATCH($B791,Products!$A$2:$A$201,0)),0))</f>
        <v/>
      </c>
      <c r="J791" s="17" t="str">
        <f aca="false">IF($B791="","",H791-I791)</f>
        <v/>
      </c>
      <c r="K791" s="16" t="str">
        <f aca="false">IF($A791="","",DATE(YEAR($A791),MONTH($A791),1))</f>
        <v/>
      </c>
    </row>
    <row r="792" customFormat="false" ht="15" hidden="false" customHeight="false" outlineLevel="0" collapsed="false">
      <c r="A792" s="25"/>
      <c r="B792" s="19"/>
      <c r="C792" s="19"/>
      <c r="D792" s="26"/>
      <c r="E792" s="27" t="str">
        <f aca="false">IF($B792="","",IFERROR(INDEX(Products!$B$2:$B$201,MATCH($B792,Products!$A$2:$A$201,0)),"Unknown code"))</f>
        <v/>
      </c>
      <c r="F792" s="22" t="str">
        <f aca="false">IF($B792="","",IFERROR(INDEX(Products!$C$2:$C$201,MATCH($B792,Products!$A$2:$A$201,0)),""))</f>
        <v/>
      </c>
      <c r="G792" s="17" t="str">
        <f aca="false">IF($B792="","",IFERROR(INDEX(Products!$D$2:$D$201,MATCH($B792,Products!$A$2:$A$201,0)),0))</f>
        <v/>
      </c>
      <c r="H792" s="17" t="str">
        <f aca="false">IF($B792="","",C792*G792*(1-D792))</f>
        <v/>
      </c>
      <c r="I792" s="17" t="str">
        <f aca="false">IF($B792="","",C792*IFERROR(INDEX(Products!$E$2:$E$201,MATCH($B792,Products!$A$2:$A$201,0)),0))</f>
        <v/>
      </c>
      <c r="J792" s="17" t="str">
        <f aca="false">IF($B792="","",H792-I792)</f>
        <v/>
      </c>
      <c r="K792" s="16" t="str">
        <f aca="false">IF($A792="","",DATE(YEAR($A792),MONTH($A792),1))</f>
        <v/>
      </c>
    </row>
    <row r="793" customFormat="false" ht="15" hidden="false" customHeight="false" outlineLevel="0" collapsed="false">
      <c r="A793" s="25"/>
      <c r="B793" s="19"/>
      <c r="C793" s="19"/>
      <c r="D793" s="26"/>
      <c r="E793" s="27" t="str">
        <f aca="false">IF($B793="","",IFERROR(INDEX(Products!$B$2:$B$201,MATCH($B793,Products!$A$2:$A$201,0)),"Unknown code"))</f>
        <v/>
      </c>
      <c r="F793" s="22" t="str">
        <f aca="false">IF($B793="","",IFERROR(INDEX(Products!$C$2:$C$201,MATCH($B793,Products!$A$2:$A$201,0)),""))</f>
        <v/>
      </c>
      <c r="G793" s="17" t="str">
        <f aca="false">IF($B793="","",IFERROR(INDEX(Products!$D$2:$D$201,MATCH($B793,Products!$A$2:$A$201,0)),0))</f>
        <v/>
      </c>
      <c r="H793" s="17" t="str">
        <f aca="false">IF($B793="","",C793*G793*(1-D793))</f>
        <v/>
      </c>
      <c r="I793" s="17" t="str">
        <f aca="false">IF($B793="","",C793*IFERROR(INDEX(Products!$E$2:$E$201,MATCH($B793,Products!$A$2:$A$201,0)),0))</f>
        <v/>
      </c>
      <c r="J793" s="17" t="str">
        <f aca="false">IF($B793="","",H793-I793)</f>
        <v/>
      </c>
      <c r="K793" s="16" t="str">
        <f aca="false">IF($A793="","",DATE(YEAR($A793),MONTH($A793),1))</f>
        <v/>
      </c>
    </row>
    <row r="794" customFormat="false" ht="15" hidden="false" customHeight="false" outlineLevel="0" collapsed="false">
      <c r="A794" s="25"/>
      <c r="B794" s="19"/>
      <c r="C794" s="19"/>
      <c r="D794" s="26"/>
      <c r="E794" s="27" t="str">
        <f aca="false">IF($B794="","",IFERROR(INDEX(Products!$B$2:$B$201,MATCH($B794,Products!$A$2:$A$201,0)),"Unknown code"))</f>
        <v/>
      </c>
      <c r="F794" s="22" t="str">
        <f aca="false">IF($B794="","",IFERROR(INDEX(Products!$C$2:$C$201,MATCH($B794,Products!$A$2:$A$201,0)),""))</f>
        <v/>
      </c>
      <c r="G794" s="17" t="str">
        <f aca="false">IF($B794="","",IFERROR(INDEX(Products!$D$2:$D$201,MATCH($B794,Products!$A$2:$A$201,0)),0))</f>
        <v/>
      </c>
      <c r="H794" s="17" t="str">
        <f aca="false">IF($B794="","",C794*G794*(1-D794))</f>
        <v/>
      </c>
      <c r="I794" s="17" t="str">
        <f aca="false">IF($B794="","",C794*IFERROR(INDEX(Products!$E$2:$E$201,MATCH($B794,Products!$A$2:$A$201,0)),0))</f>
        <v/>
      </c>
      <c r="J794" s="17" t="str">
        <f aca="false">IF($B794="","",H794-I794)</f>
        <v/>
      </c>
      <c r="K794" s="16" t="str">
        <f aca="false">IF($A794="","",DATE(YEAR($A794),MONTH($A794),1))</f>
        <v/>
      </c>
    </row>
    <row r="795" customFormat="false" ht="15" hidden="false" customHeight="false" outlineLevel="0" collapsed="false">
      <c r="A795" s="25"/>
      <c r="B795" s="19"/>
      <c r="C795" s="19"/>
      <c r="D795" s="26"/>
      <c r="E795" s="27" t="str">
        <f aca="false">IF($B795="","",IFERROR(INDEX(Products!$B$2:$B$201,MATCH($B795,Products!$A$2:$A$201,0)),"Unknown code"))</f>
        <v/>
      </c>
      <c r="F795" s="22" t="str">
        <f aca="false">IF($B795="","",IFERROR(INDEX(Products!$C$2:$C$201,MATCH($B795,Products!$A$2:$A$201,0)),""))</f>
        <v/>
      </c>
      <c r="G795" s="17" t="str">
        <f aca="false">IF($B795="","",IFERROR(INDEX(Products!$D$2:$D$201,MATCH($B795,Products!$A$2:$A$201,0)),0))</f>
        <v/>
      </c>
      <c r="H795" s="17" t="str">
        <f aca="false">IF($B795="","",C795*G795*(1-D795))</f>
        <v/>
      </c>
      <c r="I795" s="17" t="str">
        <f aca="false">IF($B795="","",C795*IFERROR(INDEX(Products!$E$2:$E$201,MATCH($B795,Products!$A$2:$A$201,0)),0))</f>
        <v/>
      </c>
      <c r="J795" s="17" t="str">
        <f aca="false">IF($B795="","",H795-I795)</f>
        <v/>
      </c>
      <c r="K795" s="16" t="str">
        <f aca="false">IF($A795="","",DATE(YEAR($A795),MONTH($A795),1))</f>
        <v/>
      </c>
    </row>
    <row r="796" customFormat="false" ht="15" hidden="false" customHeight="false" outlineLevel="0" collapsed="false">
      <c r="A796" s="25"/>
      <c r="B796" s="19"/>
      <c r="C796" s="19"/>
      <c r="D796" s="26"/>
      <c r="E796" s="27" t="str">
        <f aca="false">IF($B796="","",IFERROR(INDEX(Products!$B$2:$B$201,MATCH($B796,Products!$A$2:$A$201,0)),"Unknown code"))</f>
        <v/>
      </c>
      <c r="F796" s="22" t="str">
        <f aca="false">IF($B796="","",IFERROR(INDEX(Products!$C$2:$C$201,MATCH($B796,Products!$A$2:$A$201,0)),""))</f>
        <v/>
      </c>
      <c r="G796" s="17" t="str">
        <f aca="false">IF($B796="","",IFERROR(INDEX(Products!$D$2:$D$201,MATCH($B796,Products!$A$2:$A$201,0)),0))</f>
        <v/>
      </c>
      <c r="H796" s="17" t="str">
        <f aca="false">IF($B796="","",C796*G796*(1-D796))</f>
        <v/>
      </c>
      <c r="I796" s="17" t="str">
        <f aca="false">IF($B796="","",C796*IFERROR(INDEX(Products!$E$2:$E$201,MATCH($B796,Products!$A$2:$A$201,0)),0))</f>
        <v/>
      </c>
      <c r="J796" s="17" t="str">
        <f aca="false">IF($B796="","",H796-I796)</f>
        <v/>
      </c>
      <c r="K796" s="16" t="str">
        <f aca="false">IF($A796="","",DATE(YEAR($A796),MONTH($A796),1))</f>
        <v/>
      </c>
    </row>
    <row r="797" customFormat="false" ht="15" hidden="false" customHeight="false" outlineLevel="0" collapsed="false">
      <c r="A797" s="25"/>
      <c r="B797" s="19"/>
      <c r="C797" s="19"/>
      <c r="D797" s="26"/>
      <c r="E797" s="27" t="str">
        <f aca="false">IF($B797="","",IFERROR(INDEX(Products!$B$2:$B$201,MATCH($B797,Products!$A$2:$A$201,0)),"Unknown code"))</f>
        <v/>
      </c>
      <c r="F797" s="22" t="str">
        <f aca="false">IF($B797="","",IFERROR(INDEX(Products!$C$2:$C$201,MATCH($B797,Products!$A$2:$A$201,0)),""))</f>
        <v/>
      </c>
      <c r="G797" s="17" t="str">
        <f aca="false">IF($B797="","",IFERROR(INDEX(Products!$D$2:$D$201,MATCH($B797,Products!$A$2:$A$201,0)),0))</f>
        <v/>
      </c>
      <c r="H797" s="17" t="str">
        <f aca="false">IF($B797="","",C797*G797*(1-D797))</f>
        <v/>
      </c>
      <c r="I797" s="17" t="str">
        <f aca="false">IF($B797="","",C797*IFERROR(INDEX(Products!$E$2:$E$201,MATCH($B797,Products!$A$2:$A$201,0)),0))</f>
        <v/>
      </c>
      <c r="J797" s="17" t="str">
        <f aca="false">IF($B797="","",H797-I797)</f>
        <v/>
      </c>
      <c r="K797" s="16" t="str">
        <f aca="false">IF($A797="","",DATE(YEAR($A797),MONTH($A797),1))</f>
        <v/>
      </c>
    </row>
    <row r="798" customFormat="false" ht="15" hidden="false" customHeight="false" outlineLevel="0" collapsed="false">
      <c r="A798" s="25"/>
      <c r="B798" s="19"/>
      <c r="C798" s="19"/>
      <c r="D798" s="26"/>
      <c r="E798" s="27" t="str">
        <f aca="false">IF($B798="","",IFERROR(INDEX(Products!$B$2:$B$201,MATCH($B798,Products!$A$2:$A$201,0)),"Unknown code"))</f>
        <v/>
      </c>
      <c r="F798" s="22" t="str">
        <f aca="false">IF($B798="","",IFERROR(INDEX(Products!$C$2:$C$201,MATCH($B798,Products!$A$2:$A$201,0)),""))</f>
        <v/>
      </c>
      <c r="G798" s="17" t="str">
        <f aca="false">IF($B798="","",IFERROR(INDEX(Products!$D$2:$D$201,MATCH($B798,Products!$A$2:$A$201,0)),0))</f>
        <v/>
      </c>
      <c r="H798" s="17" t="str">
        <f aca="false">IF($B798="","",C798*G798*(1-D798))</f>
        <v/>
      </c>
      <c r="I798" s="17" t="str">
        <f aca="false">IF($B798="","",C798*IFERROR(INDEX(Products!$E$2:$E$201,MATCH($B798,Products!$A$2:$A$201,0)),0))</f>
        <v/>
      </c>
      <c r="J798" s="17" t="str">
        <f aca="false">IF($B798="","",H798-I798)</f>
        <v/>
      </c>
      <c r="K798" s="16" t="str">
        <f aca="false">IF($A798="","",DATE(YEAR($A798),MONTH($A798),1))</f>
        <v/>
      </c>
    </row>
    <row r="799" customFormat="false" ht="15" hidden="false" customHeight="false" outlineLevel="0" collapsed="false">
      <c r="A799" s="25"/>
      <c r="B799" s="19"/>
      <c r="C799" s="19"/>
      <c r="D799" s="26"/>
      <c r="E799" s="27" t="str">
        <f aca="false">IF($B799="","",IFERROR(INDEX(Products!$B$2:$B$201,MATCH($B799,Products!$A$2:$A$201,0)),"Unknown code"))</f>
        <v/>
      </c>
      <c r="F799" s="22" t="str">
        <f aca="false">IF($B799="","",IFERROR(INDEX(Products!$C$2:$C$201,MATCH($B799,Products!$A$2:$A$201,0)),""))</f>
        <v/>
      </c>
      <c r="G799" s="17" t="str">
        <f aca="false">IF($B799="","",IFERROR(INDEX(Products!$D$2:$D$201,MATCH($B799,Products!$A$2:$A$201,0)),0))</f>
        <v/>
      </c>
      <c r="H799" s="17" t="str">
        <f aca="false">IF($B799="","",C799*G799*(1-D799))</f>
        <v/>
      </c>
      <c r="I799" s="17" t="str">
        <f aca="false">IF($B799="","",C799*IFERROR(INDEX(Products!$E$2:$E$201,MATCH($B799,Products!$A$2:$A$201,0)),0))</f>
        <v/>
      </c>
      <c r="J799" s="17" t="str">
        <f aca="false">IF($B799="","",H799-I799)</f>
        <v/>
      </c>
      <c r="K799" s="16" t="str">
        <f aca="false">IF($A799="","",DATE(YEAR($A799),MONTH($A799),1))</f>
        <v/>
      </c>
    </row>
    <row r="800" customFormat="false" ht="15" hidden="false" customHeight="false" outlineLevel="0" collapsed="false">
      <c r="A800" s="25"/>
      <c r="B800" s="19"/>
      <c r="C800" s="19"/>
      <c r="D800" s="26"/>
      <c r="E800" s="27" t="str">
        <f aca="false">IF($B800="","",IFERROR(INDEX(Products!$B$2:$B$201,MATCH($B800,Products!$A$2:$A$201,0)),"Unknown code"))</f>
        <v/>
      </c>
      <c r="F800" s="22" t="str">
        <f aca="false">IF($B800="","",IFERROR(INDEX(Products!$C$2:$C$201,MATCH($B800,Products!$A$2:$A$201,0)),""))</f>
        <v/>
      </c>
      <c r="G800" s="17" t="str">
        <f aca="false">IF($B800="","",IFERROR(INDEX(Products!$D$2:$D$201,MATCH($B800,Products!$A$2:$A$201,0)),0))</f>
        <v/>
      </c>
      <c r="H800" s="17" t="str">
        <f aca="false">IF($B800="","",C800*G800*(1-D800))</f>
        <v/>
      </c>
      <c r="I800" s="17" t="str">
        <f aca="false">IF($B800="","",C800*IFERROR(INDEX(Products!$E$2:$E$201,MATCH($B800,Products!$A$2:$A$201,0)),0))</f>
        <v/>
      </c>
      <c r="J800" s="17" t="str">
        <f aca="false">IF($B800="","",H800-I800)</f>
        <v/>
      </c>
      <c r="K800" s="16" t="str">
        <f aca="false">IF($A800="","",DATE(YEAR($A800),MONTH($A800),1))</f>
        <v/>
      </c>
    </row>
    <row r="801" customFormat="false" ht="15" hidden="false" customHeight="false" outlineLevel="0" collapsed="false">
      <c r="A801" s="25"/>
      <c r="B801" s="19"/>
      <c r="C801" s="19"/>
      <c r="D801" s="26"/>
      <c r="E801" s="27" t="str">
        <f aca="false">IF($B801="","",IFERROR(INDEX(Products!$B$2:$B$201,MATCH($B801,Products!$A$2:$A$201,0)),"Unknown code"))</f>
        <v/>
      </c>
      <c r="F801" s="22" t="str">
        <f aca="false">IF($B801="","",IFERROR(INDEX(Products!$C$2:$C$201,MATCH($B801,Products!$A$2:$A$201,0)),""))</f>
        <v/>
      </c>
      <c r="G801" s="17" t="str">
        <f aca="false">IF($B801="","",IFERROR(INDEX(Products!$D$2:$D$201,MATCH($B801,Products!$A$2:$A$201,0)),0))</f>
        <v/>
      </c>
      <c r="H801" s="17" t="str">
        <f aca="false">IF($B801="","",C801*G801*(1-D801))</f>
        <v/>
      </c>
      <c r="I801" s="17" t="str">
        <f aca="false">IF($B801="","",C801*IFERROR(INDEX(Products!$E$2:$E$201,MATCH($B801,Products!$A$2:$A$201,0)),0))</f>
        <v/>
      </c>
      <c r="J801" s="17" t="str">
        <f aca="false">IF($B801="","",H801-I801)</f>
        <v/>
      </c>
      <c r="K801" s="16" t="str">
        <f aca="false">IF($A801="","",DATE(YEAR($A801),MONTH($A801),1))</f>
        <v/>
      </c>
    </row>
    <row r="802" customFormat="false" ht="15" hidden="false" customHeight="false" outlineLevel="0" collapsed="false">
      <c r="A802" s="25"/>
      <c r="B802" s="19"/>
      <c r="C802" s="19"/>
      <c r="D802" s="26"/>
      <c r="E802" s="27" t="str">
        <f aca="false">IF($B802="","",IFERROR(INDEX(Products!$B$2:$B$201,MATCH($B802,Products!$A$2:$A$201,0)),"Unknown code"))</f>
        <v/>
      </c>
      <c r="F802" s="22" t="str">
        <f aca="false">IF($B802="","",IFERROR(INDEX(Products!$C$2:$C$201,MATCH($B802,Products!$A$2:$A$201,0)),""))</f>
        <v/>
      </c>
      <c r="G802" s="17" t="str">
        <f aca="false">IF($B802="","",IFERROR(INDEX(Products!$D$2:$D$201,MATCH($B802,Products!$A$2:$A$201,0)),0))</f>
        <v/>
      </c>
      <c r="H802" s="17" t="str">
        <f aca="false">IF($B802="","",C802*G802*(1-D802))</f>
        <v/>
      </c>
      <c r="I802" s="17" t="str">
        <f aca="false">IF($B802="","",C802*IFERROR(INDEX(Products!$E$2:$E$201,MATCH($B802,Products!$A$2:$A$201,0)),0))</f>
        <v/>
      </c>
      <c r="J802" s="17" t="str">
        <f aca="false">IF($B802="","",H802-I802)</f>
        <v/>
      </c>
      <c r="K802" s="16" t="str">
        <f aca="false">IF($A802="","",DATE(YEAR($A802),MONTH($A802),1))</f>
        <v/>
      </c>
    </row>
    <row r="803" customFormat="false" ht="15" hidden="false" customHeight="false" outlineLevel="0" collapsed="false">
      <c r="A803" s="25"/>
      <c r="B803" s="19"/>
      <c r="C803" s="19"/>
      <c r="D803" s="26"/>
      <c r="E803" s="27" t="str">
        <f aca="false">IF($B803="","",IFERROR(INDEX(Products!$B$2:$B$201,MATCH($B803,Products!$A$2:$A$201,0)),"Unknown code"))</f>
        <v/>
      </c>
      <c r="F803" s="22" t="str">
        <f aca="false">IF($B803="","",IFERROR(INDEX(Products!$C$2:$C$201,MATCH($B803,Products!$A$2:$A$201,0)),""))</f>
        <v/>
      </c>
      <c r="G803" s="17" t="str">
        <f aca="false">IF($B803="","",IFERROR(INDEX(Products!$D$2:$D$201,MATCH($B803,Products!$A$2:$A$201,0)),0))</f>
        <v/>
      </c>
      <c r="H803" s="17" t="str">
        <f aca="false">IF($B803="","",C803*G803*(1-D803))</f>
        <v/>
      </c>
      <c r="I803" s="17" t="str">
        <f aca="false">IF($B803="","",C803*IFERROR(INDEX(Products!$E$2:$E$201,MATCH($B803,Products!$A$2:$A$201,0)),0))</f>
        <v/>
      </c>
      <c r="J803" s="17" t="str">
        <f aca="false">IF($B803="","",H803-I803)</f>
        <v/>
      </c>
      <c r="K803" s="16" t="str">
        <f aca="false">IF($A803="","",DATE(YEAR($A803),MONTH($A803),1))</f>
        <v/>
      </c>
    </row>
    <row r="804" customFormat="false" ht="15" hidden="false" customHeight="false" outlineLevel="0" collapsed="false">
      <c r="A804" s="25"/>
      <c r="B804" s="19"/>
      <c r="C804" s="19"/>
      <c r="D804" s="26"/>
      <c r="E804" s="27" t="str">
        <f aca="false">IF($B804="","",IFERROR(INDEX(Products!$B$2:$B$201,MATCH($B804,Products!$A$2:$A$201,0)),"Unknown code"))</f>
        <v/>
      </c>
      <c r="F804" s="22" t="str">
        <f aca="false">IF($B804="","",IFERROR(INDEX(Products!$C$2:$C$201,MATCH($B804,Products!$A$2:$A$201,0)),""))</f>
        <v/>
      </c>
      <c r="G804" s="17" t="str">
        <f aca="false">IF($B804="","",IFERROR(INDEX(Products!$D$2:$D$201,MATCH($B804,Products!$A$2:$A$201,0)),0))</f>
        <v/>
      </c>
      <c r="H804" s="17" t="str">
        <f aca="false">IF($B804="","",C804*G804*(1-D804))</f>
        <v/>
      </c>
      <c r="I804" s="17" t="str">
        <f aca="false">IF($B804="","",C804*IFERROR(INDEX(Products!$E$2:$E$201,MATCH($B804,Products!$A$2:$A$201,0)),0))</f>
        <v/>
      </c>
      <c r="J804" s="17" t="str">
        <f aca="false">IF($B804="","",H804-I804)</f>
        <v/>
      </c>
      <c r="K804" s="16" t="str">
        <f aca="false">IF($A804="","",DATE(YEAR($A804),MONTH($A804),1))</f>
        <v/>
      </c>
    </row>
    <row r="805" customFormat="false" ht="15" hidden="false" customHeight="false" outlineLevel="0" collapsed="false">
      <c r="A805" s="25"/>
      <c r="B805" s="19"/>
      <c r="C805" s="19"/>
      <c r="D805" s="26"/>
      <c r="E805" s="27" t="str">
        <f aca="false">IF($B805="","",IFERROR(INDEX(Products!$B$2:$B$201,MATCH($B805,Products!$A$2:$A$201,0)),"Unknown code"))</f>
        <v/>
      </c>
      <c r="F805" s="22" t="str">
        <f aca="false">IF($B805="","",IFERROR(INDEX(Products!$C$2:$C$201,MATCH($B805,Products!$A$2:$A$201,0)),""))</f>
        <v/>
      </c>
      <c r="G805" s="17" t="str">
        <f aca="false">IF($B805="","",IFERROR(INDEX(Products!$D$2:$D$201,MATCH($B805,Products!$A$2:$A$201,0)),0))</f>
        <v/>
      </c>
      <c r="H805" s="17" t="str">
        <f aca="false">IF($B805="","",C805*G805*(1-D805))</f>
        <v/>
      </c>
      <c r="I805" s="17" t="str">
        <f aca="false">IF($B805="","",C805*IFERROR(INDEX(Products!$E$2:$E$201,MATCH($B805,Products!$A$2:$A$201,0)),0))</f>
        <v/>
      </c>
      <c r="J805" s="17" t="str">
        <f aca="false">IF($B805="","",H805-I805)</f>
        <v/>
      </c>
      <c r="K805" s="16" t="str">
        <f aca="false">IF($A805="","",DATE(YEAR($A805),MONTH($A805),1))</f>
        <v/>
      </c>
    </row>
    <row r="806" customFormat="false" ht="15" hidden="false" customHeight="false" outlineLevel="0" collapsed="false">
      <c r="A806" s="25"/>
      <c r="B806" s="19"/>
      <c r="C806" s="19"/>
      <c r="D806" s="26"/>
      <c r="E806" s="27" t="str">
        <f aca="false">IF($B806="","",IFERROR(INDEX(Products!$B$2:$B$201,MATCH($B806,Products!$A$2:$A$201,0)),"Unknown code"))</f>
        <v/>
      </c>
      <c r="F806" s="22" t="str">
        <f aca="false">IF($B806="","",IFERROR(INDEX(Products!$C$2:$C$201,MATCH($B806,Products!$A$2:$A$201,0)),""))</f>
        <v/>
      </c>
      <c r="G806" s="17" t="str">
        <f aca="false">IF($B806="","",IFERROR(INDEX(Products!$D$2:$D$201,MATCH($B806,Products!$A$2:$A$201,0)),0))</f>
        <v/>
      </c>
      <c r="H806" s="17" t="str">
        <f aca="false">IF($B806="","",C806*G806*(1-D806))</f>
        <v/>
      </c>
      <c r="I806" s="17" t="str">
        <f aca="false">IF($B806="","",C806*IFERROR(INDEX(Products!$E$2:$E$201,MATCH($B806,Products!$A$2:$A$201,0)),0))</f>
        <v/>
      </c>
      <c r="J806" s="17" t="str">
        <f aca="false">IF($B806="","",H806-I806)</f>
        <v/>
      </c>
      <c r="K806" s="16" t="str">
        <f aca="false">IF($A806="","",DATE(YEAR($A806),MONTH($A806),1))</f>
        <v/>
      </c>
    </row>
    <row r="807" customFormat="false" ht="15" hidden="false" customHeight="false" outlineLevel="0" collapsed="false">
      <c r="A807" s="25"/>
      <c r="B807" s="19"/>
      <c r="C807" s="19"/>
      <c r="D807" s="26"/>
      <c r="E807" s="27" t="str">
        <f aca="false">IF($B807="","",IFERROR(INDEX(Products!$B$2:$B$201,MATCH($B807,Products!$A$2:$A$201,0)),"Unknown code"))</f>
        <v/>
      </c>
      <c r="F807" s="22" t="str">
        <f aca="false">IF($B807="","",IFERROR(INDEX(Products!$C$2:$C$201,MATCH($B807,Products!$A$2:$A$201,0)),""))</f>
        <v/>
      </c>
      <c r="G807" s="17" t="str">
        <f aca="false">IF($B807="","",IFERROR(INDEX(Products!$D$2:$D$201,MATCH($B807,Products!$A$2:$A$201,0)),0))</f>
        <v/>
      </c>
      <c r="H807" s="17" t="str">
        <f aca="false">IF($B807="","",C807*G807*(1-D807))</f>
        <v/>
      </c>
      <c r="I807" s="17" t="str">
        <f aca="false">IF($B807="","",C807*IFERROR(INDEX(Products!$E$2:$E$201,MATCH($B807,Products!$A$2:$A$201,0)),0))</f>
        <v/>
      </c>
      <c r="J807" s="17" t="str">
        <f aca="false">IF($B807="","",H807-I807)</f>
        <v/>
      </c>
      <c r="K807" s="16" t="str">
        <f aca="false">IF($A807="","",DATE(YEAR($A807),MONTH($A807),1))</f>
        <v/>
      </c>
    </row>
    <row r="808" customFormat="false" ht="15" hidden="false" customHeight="false" outlineLevel="0" collapsed="false">
      <c r="A808" s="25"/>
      <c r="B808" s="19"/>
      <c r="C808" s="19"/>
      <c r="D808" s="26"/>
      <c r="E808" s="27" t="str">
        <f aca="false">IF($B808="","",IFERROR(INDEX(Products!$B$2:$B$201,MATCH($B808,Products!$A$2:$A$201,0)),"Unknown code"))</f>
        <v/>
      </c>
      <c r="F808" s="22" t="str">
        <f aca="false">IF($B808="","",IFERROR(INDEX(Products!$C$2:$C$201,MATCH($B808,Products!$A$2:$A$201,0)),""))</f>
        <v/>
      </c>
      <c r="G808" s="17" t="str">
        <f aca="false">IF($B808="","",IFERROR(INDEX(Products!$D$2:$D$201,MATCH($B808,Products!$A$2:$A$201,0)),0))</f>
        <v/>
      </c>
      <c r="H808" s="17" t="str">
        <f aca="false">IF($B808="","",C808*G808*(1-D808))</f>
        <v/>
      </c>
      <c r="I808" s="17" t="str">
        <f aca="false">IF($B808="","",C808*IFERROR(INDEX(Products!$E$2:$E$201,MATCH($B808,Products!$A$2:$A$201,0)),0))</f>
        <v/>
      </c>
      <c r="J808" s="17" t="str">
        <f aca="false">IF($B808="","",H808-I808)</f>
        <v/>
      </c>
      <c r="K808" s="16" t="str">
        <f aca="false">IF($A808="","",DATE(YEAR($A808),MONTH($A808),1))</f>
        <v/>
      </c>
    </row>
    <row r="809" customFormat="false" ht="15" hidden="false" customHeight="false" outlineLevel="0" collapsed="false">
      <c r="A809" s="25"/>
      <c r="B809" s="19"/>
      <c r="C809" s="19"/>
      <c r="D809" s="26"/>
      <c r="E809" s="27" t="str">
        <f aca="false">IF($B809="","",IFERROR(INDEX(Products!$B$2:$B$201,MATCH($B809,Products!$A$2:$A$201,0)),"Unknown code"))</f>
        <v/>
      </c>
      <c r="F809" s="22" t="str">
        <f aca="false">IF($B809="","",IFERROR(INDEX(Products!$C$2:$C$201,MATCH($B809,Products!$A$2:$A$201,0)),""))</f>
        <v/>
      </c>
      <c r="G809" s="17" t="str">
        <f aca="false">IF($B809="","",IFERROR(INDEX(Products!$D$2:$D$201,MATCH($B809,Products!$A$2:$A$201,0)),0))</f>
        <v/>
      </c>
      <c r="H809" s="17" t="str">
        <f aca="false">IF($B809="","",C809*G809*(1-D809))</f>
        <v/>
      </c>
      <c r="I809" s="17" t="str">
        <f aca="false">IF($B809="","",C809*IFERROR(INDEX(Products!$E$2:$E$201,MATCH($B809,Products!$A$2:$A$201,0)),0))</f>
        <v/>
      </c>
      <c r="J809" s="17" t="str">
        <f aca="false">IF($B809="","",H809-I809)</f>
        <v/>
      </c>
      <c r="K809" s="16" t="str">
        <f aca="false">IF($A809="","",DATE(YEAR($A809),MONTH($A809),1))</f>
        <v/>
      </c>
    </row>
    <row r="810" customFormat="false" ht="15" hidden="false" customHeight="false" outlineLevel="0" collapsed="false">
      <c r="A810" s="25"/>
      <c r="B810" s="19"/>
      <c r="C810" s="19"/>
      <c r="D810" s="26"/>
      <c r="E810" s="27" t="str">
        <f aca="false">IF($B810="","",IFERROR(INDEX(Products!$B$2:$B$201,MATCH($B810,Products!$A$2:$A$201,0)),"Unknown code"))</f>
        <v/>
      </c>
      <c r="F810" s="22" t="str">
        <f aca="false">IF($B810="","",IFERROR(INDEX(Products!$C$2:$C$201,MATCH($B810,Products!$A$2:$A$201,0)),""))</f>
        <v/>
      </c>
      <c r="G810" s="17" t="str">
        <f aca="false">IF($B810="","",IFERROR(INDEX(Products!$D$2:$D$201,MATCH($B810,Products!$A$2:$A$201,0)),0))</f>
        <v/>
      </c>
      <c r="H810" s="17" t="str">
        <f aca="false">IF($B810="","",C810*G810*(1-D810))</f>
        <v/>
      </c>
      <c r="I810" s="17" t="str">
        <f aca="false">IF($B810="","",C810*IFERROR(INDEX(Products!$E$2:$E$201,MATCH($B810,Products!$A$2:$A$201,0)),0))</f>
        <v/>
      </c>
      <c r="J810" s="17" t="str">
        <f aca="false">IF($B810="","",H810-I810)</f>
        <v/>
      </c>
      <c r="K810" s="16" t="str">
        <f aca="false">IF($A810="","",DATE(YEAR($A810),MONTH($A810),1))</f>
        <v/>
      </c>
    </row>
    <row r="811" customFormat="false" ht="15" hidden="false" customHeight="false" outlineLevel="0" collapsed="false">
      <c r="A811" s="25"/>
      <c r="B811" s="19"/>
      <c r="C811" s="19"/>
      <c r="D811" s="26"/>
      <c r="E811" s="27" t="str">
        <f aca="false">IF($B811="","",IFERROR(INDEX(Products!$B$2:$B$201,MATCH($B811,Products!$A$2:$A$201,0)),"Unknown code"))</f>
        <v/>
      </c>
      <c r="F811" s="22" t="str">
        <f aca="false">IF($B811="","",IFERROR(INDEX(Products!$C$2:$C$201,MATCH($B811,Products!$A$2:$A$201,0)),""))</f>
        <v/>
      </c>
      <c r="G811" s="17" t="str">
        <f aca="false">IF($B811="","",IFERROR(INDEX(Products!$D$2:$D$201,MATCH($B811,Products!$A$2:$A$201,0)),0))</f>
        <v/>
      </c>
      <c r="H811" s="17" t="str">
        <f aca="false">IF($B811="","",C811*G811*(1-D811))</f>
        <v/>
      </c>
      <c r="I811" s="17" t="str">
        <f aca="false">IF($B811="","",C811*IFERROR(INDEX(Products!$E$2:$E$201,MATCH($B811,Products!$A$2:$A$201,0)),0))</f>
        <v/>
      </c>
      <c r="J811" s="17" t="str">
        <f aca="false">IF($B811="","",H811-I811)</f>
        <v/>
      </c>
      <c r="K811" s="16" t="str">
        <f aca="false">IF($A811="","",DATE(YEAR($A811),MONTH($A811),1))</f>
        <v/>
      </c>
    </row>
    <row r="812" customFormat="false" ht="15" hidden="false" customHeight="false" outlineLevel="0" collapsed="false">
      <c r="A812" s="25"/>
      <c r="B812" s="19"/>
      <c r="C812" s="19"/>
      <c r="D812" s="26"/>
      <c r="E812" s="27" t="str">
        <f aca="false">IF($B812="","",IFERROR(INDEX(Products!$B$2:$B$201,MATCH($B812,Products!$A$2:$A$201,0)),"Unknown code"))</f>
        <v/>
      </c>
      <c r="F812" s="22" t="str">
        <f aca="false">IF($B812="","",IFERROR(INDEX(Products!$C$2:$C$201,MATCH($B812,Products!$A$2:$A$201,0)),""))</f>
        <v/>
      </c>
      <c r="G812" s="17" t="str">
        <f aca="false">IF($B812="","",IFERROR(INDEX(Products!$D$2:$D$201,MATCH($B812,Products!$A$2:$A$201,0)),0))</f>
        <v/>
      </c>
      <c r="H812" s="17" t="str">
        <f aca="false">IF($B812="","",C812*G812*(1-D812))</f>
        <v/>
      </c>
      <c r="I812" s="17" t="str">
        <f aca="false">IF($B812="","",C812*IFERROR(INDEX(Products!$E$2:$E$201,MATCH($B812,Products!$A$2:$A$201,0)),0))</f>
        <v/>
      </c>
      <c r="J812" s="17" t="str">
        <f aca="false">IF($B812="","",H812-I812)</f>
        <v/>
      </c>
      <c r="K812" s="16" t="str">
        <f aca="false">IF($A812="","",DATE(YEAR($A812),MONTH($A812),1))</f>
        <v/>
      </c>
    </row>
    <row r="813" customFormat="false" ht="15" hidden="false" customHeight="false" outlineLevel="0" collapsed="false">
      <c r="A813" s="25"/>
      <c r="B813" s="19"/>
      <c r="C813" s="19"/>
      <c r="D813" s="26"/>
      <c r="E813" s="27" t="str">
        <f aca="false">IF($B813="","",IFERROR(INDEX(Products!$B$2:$B$201,MATCH($B813,Products!$A$2:$A$201,0)),"Unknown code"))</f>
        <v/>
      </c>
      <c r="F813" s="22" t="str">
        <f aca="false">IF($B813="","",IFERROR(INDEX(Products!$C$2:$C$201,MATCH($B813,Products!$A$2:$A$201,0)),""))</f>
        <v/>
      </c>
      <c r="G813" s="17" t="str">
        <f aca="false">IF($B813="","",IFERROR(INDEX(Products!$D$2:$D$201,MATCH($B813,Products!$A$2:$A$201,0)),0))</f>
        <v/>
      </c>
      <c r="H813" s="17" t="str">
        <f aca="false">IF($B813="","",C813*G813*(1-D813))</f>
        <v/>
      </c>
      <c r="I813" s="17" t="str">
        <f aca="false">IF($B813="","",C813*IFERROR(INDEX(Products!$E$2:$E$201,MATCH($B813,Products!$A$2:$A$201,0)),0))</f>
        <v/>
      </c>
      <c r="J813" s="17" t="str">
        <f aca="false">IF($B813="","",H813-I813)</f>
        <v/>
      </c>
      <c r="K813" s="16" t="str">
        <f aca="false">IF($A813="","",DATE(YEAR($A813),MONTH($A813),1))</f>
        <v/>
      </c>
    </row>
    <row r="814" customFormat="false" ht="15" hidden="false" customHeight="false" outlineLevel="0" collapsed="false">
      <c r="A814" s="25"/>
      <c r="B814" s="19"/>
      <c r="C814" s="19"/>
      <c r="D814" s="26"/>
      <c r="E814" s="27" t="str">
        <f aca="false">IF($B814="","",IFERROR(INDEX(Products!$B$2:$B$201,MATCH($B814,Products!$A$2:$A$201,0)),"Unknown code"))</f>
        <v/>
      </c>
      <c r="F814" s="22" t="str">
        <f aca="false">IF($B814="","",IFERROR(INDEX(Products!$C$2:$C$201,MATCH($B814,Products!$A$2:$A$201,0)),""))</f>
        <v/>
      </c>
      <c r="G814" s="17" t="str">
        <f aca="false">IF($B814="","",IFERROR(INDEX(Products!$D$2:$D$201,MATCH($B814,Products!$A$2:$A$201,0)),0))</f>
        <v/>
      </c>
      <c r="H814" s="17" t="str">
        <f aca="false">IF($B814="","",C814*G814*(1-D814))</f>
        <v/>
      </c>
      <c r="I814" s="17" t="str">
        <f aca="false">IF($B814="","",C814*IFERROR(INDEX(Products!$E$2:$E$201,MATCH($B814,Products!$A$2:$A$201,0)),0))</f>
        <v/>
      </c>
      <c r="J814" s="17" t="str">
        <f aca="false">IF($B814="","",H814-I814)</f>
        <v/>
      </c>
      <c r="K814" s="16" t="str">
        <f aca="false">IF($A814="","",DATE(YEAR($A814),MONTH($A814),1))</f>
        <v/>
      </c>
    </row>
    <row r="815" customFormat="false" ht="15" hidden="false" customHeight="false" outlineLevel="0" collapsed="false">
      <c r="A815" s="25"/>
      <c r="B815" s="19"/>
      <c r="C815" s="19"/>
      <c r="D815" s="26"/>
      <c r="E815" s="27" t="str">
        <f aca="false">IF($B815="","",IFERROR(INDEX(Products!$B$2:$B$201,MATCH($B815,Products!$A$2:$A$201,0)),"Unknown code"))</f>
        <v/>
      </c>
      <c r="F815" s="22" t="str">
        <f aca="false">IF($B815="","",IFERROR(INDEX(Products!$C$2:$C$201,MATCH($B815,Products!$A$2:$A$201,0)),""))</f>
        <v/>
      </c>
      <c r="G815" s="17" t="str">
        <f aca="false">IF($B815="","",IFERROR(INDEX(Products!$D$2:$D$201,MATCH($B815,Products!$A$2:$A$201,0)),0))</f>
        <v/>
      </c>
      <c r="H815" s="17" t="str">
        <f aca="false">IF($B815="","",C815*G815*(1-D815))</f>
        <v/>
      </c>
      <c r="I815" s="17" t="str">
        <f aca="false">IF($B815="","",C815*IFERROR(INDEX(Products!$E$2:$E$201,MATCH($B815,Products!$A$2:$A$201,0)),0))</f>
        <v/>
      </c>
      <c r="J815" s="17" t="str">
        <f aca="false">IF($B815="","",H815-I815)</f>
        <v/>
      </c>
      <c r="K815" s="16" t="str">
        <f aca="false">IF($A815="","",DATE(YEAR($A815),MONTH($A815),1))</f>
        <v/>
      </c>
    </row>
    <row r="816" customFormat="false" ht="15" hidden="false" customHeight="false" outlineLevel="0" collapsed="false">
      <c r="A816" s="25"/>
      <c r="B816" s="19"/>
      <c r="C816" s="19"/>
      <c r="D816" s="26"/>
      <c r="E816" s="27" t="str">
        <f aca="false">IF($B816="","",IFERROR(INDEX(Products!$B$2:$B$201,MATCH($B816,Products!$A$2:$A$201,0)),"Unknown code"))</f>
        <v/>
      </c>
      <c r="F816" s="22" t="str">
        <f aca="false">IF($B816="","",IFERROR(INDEX(Products!$C$2:$C$201,MATCH($B816,Products!$A$2:$A$201,0)),""))</f>
        <v/>
      </c>
      <c r="G816" s="17" t="str">
        <f aca="false">IF($B816="","",IFERROR(INDEX(Products!$D$2:$D$201,MATCH($B816,Products!$A$2:$A$201,0)),0))</f>
        <v/>
      </c>
      <c r="H816" s="17" t="str">
        <f aca="false">IF($B816="","",C816*G816*(1-D816))</f>
        <v/>
      </c>
      <c r="I816" s="17" t="str">
        <f aca="false">IF($B816="","",C816*IFERROR(INDEX(Products!$E$2:$E$201,MATCH($B816,Products!$A$2:$A$201,0)),0))</f>
        <v/>
      </c>
      <c r="J816" s="17" t="str">
        <f aca="false">IF($B816="","",H816-I816)</f>
        <v/>
      </c>
      <c r="K816" s="16" t="str">
        <f aca="false">IF($A816="","",DATE(YEAR($A816),MONTH($A816),1))</f>
        <v/>
      </c>
    </row>
    <row r="817" customFormat="false" ht="15" hidden="false" customHeight="false" outlineLevel="0" collapsed="false">
      <c r="A817" s="25"/>
      <c r="B817" s="19"/>
      <c r="C817" s="19"/>
      <c r="D817" s="26"/>
      <c r="E817" s="27" t="str">
        <f aca="false">IF($B817="","",IFERROR(INDEX(Products!$B$2:$B$201,MATCH($B817,Products!$A$2:$A$201,0)),"Unknown code"))</f>
        <v/>
      </c>
      <c r="F817" s="22" t="str">
        <f aca="false">IF($B817="","",IFERROR(INDEX(Products!$C$2:$C$201,MATCH($B817,Products!$A$2:$A$201,0)),""))</f>
        <v/>
      </c>
      <c r="G817" s="17" t="str">
        <f aca="false">IF($B817="","",IFERROR(INDEX(Products!$D$2:$D$201,MATCH($B817,Products!$A$2:$A$201,0)),0))</f>
        <v/>
      </c>
      <c r="H817" s="17" t="str">
        <f aca="false">IF($B817="","",C817*G817*(1-D817))</f>
        <v/>
      </c>
      <c r="I817" s="17" t="str">
        <f aca="false">IF($B817="","",C817*IFERROR(INDEX(Products!$E$2:$E$201,MATCH($B817,Products!$A$2:$A$201,0)),0))</f>
        <v/>
      </c>
      <c r="J817" s="17" t="str">
        <f aca="false">IF($B817="","",H817-I817)</f>
        <v/>
      </c>
      <c r="K817" s="16" t="str">
        <f aca="false">IF($A817="","",DATE(YEAR($A817),MONTH($A817),1))</f>
        <v/>
      </c>
    </row>
    <row r="818" customFormat="false" ht="15" hidden="false" customHeight="false" outlineLevel="0" collapsed="false">
      <c r="A818" s="25"/>
      <c r="B818" s="19"/>
      <c r="C818" s="19"/>
      <c r="D818" s="26"/>
      <c r="E818" s="27" t="str">
        <f aca="false">IF($B818="","",IFERROR(INDEX(Products!$B$2:$B$201,MATCH($B818,Products!$A$2:$A$201,0)),"Unknown code"))</f>
        <v/>
      </c>
      <c r="F818" s="22" t="str">
        <f aca="false">IF($B818="","",IFERROR(INDEX(Products!$C$2:$C$201,MATCH($B818,Products!$A$2:$A$201,0)),""))</f>
        <v/>
      </c>
      <c r="G818" s="17" t="str">
        <f aca="false">IF($B818="","",IFERROR(INDEX(Products!$D$2:$D$201,MATCH($B818,Products!$A$2:$A$201,0)),0))</f>
        <v/>
      </c>
      <c r="H818" s="17" t="str">
        <f aca="false">IF($B818="","",C818*G818*(1-D818))</f>
        <v/>
      </c>
      <c r="I818" s="17" t="str">
        <f aca="false">IF($B818="","",C818*IFERROR(INDEX(Products!$E$2:$E$201,MATCH($B818,Products!$A$2:$A$201,0)),0))</f>
        <v/>
      </c>
      <c r="J818" s="17" t="str">
        <f aca="false">IF($B818="","",H818-I818)</f>
        <v/>
      </c>
      <c r="K818" s="16" t="str">
        <f aca="false">IF($A818="","",DATE(YEAR($A818),MONTH($A818),1))</f>
        <v/>
      </c>
    </row>
    <row r="819" customFormat="false" ht="15" hidden="false" customHeight="false" outlineLevel="0" collapsed="false">
      <c r="A819" s="25"/>
      <c r="B819" s="19"/>
      <c r="C819" s="19"/>
      <c r="D819" s="26"/>
      <c r="E819" s="27" t="str">
        <f aca="false">IF($B819="","",IFERROR(INDEX(Products!$B$2:$B$201,MATCH($B819,Products!$A$2:$A$201,0)),"Unknown code"))</f>
        <v/>
      </c>
      <c r="F819" s="22" t="str">
        <f aca="false">IF($B819="","",IFERROR(INDEX(Products!$C$2:$C$201,MATCH($B819,Products!$A$2:$A$201,0)),""))</f>
        <v/>
      </c>
      <c r="G819" s="17" t="str">
        <f aca="false">IF($B819="","",IFERROR(INDEX(Products!$D$2:$D$201,MATCH($B819,Products!$A$2:$A$201,0)),0))</f>
        <v/>
      </c>
      <c r="H819" s="17" t="str">
        <f aca="false">IF($B819="","",C819*G819*(1-D819))</f>
        <v/>
      </c>
      <c r="I819" s="17" t="str">
        <f aca="false">IF($B819="","",C819*IFERROR(INDEX(Products!$E$2:$E$201,MATCH($B819,Products!$A$2:$A$201,0)),0))</f>
        <v/>
      </c>
      <c r="J819" s="17" t="str">
        <f aca="false">IF($B819="","",H819-I819)</f>
        <v/>
      </c>
      <c r="K819" s="16" t="str">
        <f aca="false">IF($A819="","",DATE(YEAR($A819),MONTH($A819),1))</f>
        <v/>
      </c>
    </row>
    <row r="820" customFormat="false" ht="15" hidden="false" customHeight="false" outlineLevel="0" collapsed="false">
      <c r="A820" s="25"/>
      <c r="B820" s="19"/>
      <c r="C820" s="19"/>
      <c r="D820" s="26"/>
      <c r="E820" s="27" t="str">
        <f aca="false">IF($B820="","",IFERROR(INDEX(Products!$B$2:$B$201,MATCH($B820,Products!$A$2:$A$201,0)),"Unknown code"))</f>
        <v/>
      </c>
      <c r="F820" s="22" t="str">
        <f aca="false">IF($B820="","",IFERROR(INDEX(Products!$C$2:$C$201,MATCH($B820,Products!$A$2:$A$201,0)),""))</f>
        <v/>
      </c>
      <c r="G820" s="17" t="str">
        <f aca="false">IF($B820="","",IFERROR(INDEX(Products!$D$2:$D$201,MATCH($B820,Products!$A$2:$A$201,0)),0))</f>
        <v/>
      </c>
      <c r="H820" s="17" t="str">
        <f aca="false">IF($B820="","",C820*G820*(1-D820))</f>
        <v/>
      </c>
      <c r="I820" s="17" t="str">
        <f aca="false">IF($B820="","",C820*IFERROR(INDEX(Products!$E$2:$E$201,MATCH($B820,Products!$A$2:$A$201,0)),0))</f>
        <v/>
      </c>
      <c r="J820" s="17" t="str">
        <f aca="false">IF($B820="","",H820-I820)</f>
        <v/>
      </c>
      <c r="K820" s="16" t="str">
        <f aca="false">IF($A820="","",DATE(YEAR($A820),MONTH($A820),1))</f>
        <v/>
      </c>
    </row>
    <row r="821" customFormat="false" ht="15" hidden="false" customHeight="false" outlineLevel="0" collapsed="false">
      <c r="A821" s="25"/>
      <c r="B821" s="19"/>
      <c r="C821" s="19"/>
      <c r="D821" s="26"/>
      <c r="E821" s="27" t="str">
        <f aca="false">IF($B821="","",IFERROR(INDEX(Products!$B$2:$B$201,MATCH($B821,Products!$A$2:$A$201,0)),"Unknown code"))</f>
        <v/>
      </c>
      <c r="F821" s="22" t="str">
        <f aca="false">IF($B821="","",IFERROR(INDEX(Products!$C$2:$C$201,MATCH($B821,Products!$A$2:$A$201,0)),""))</f>
        <v/>
      </c>
      <c r="G821" s="17" t="str">
        <f aca="false">IF($B821="","",IFERROR(INDEX(Products!$D$2:$D$201,MATCH($B821,Products!$A$2:$A$201,0)),0))</f>
        <v/>
      </c>
      <c r="H821" s="17" t="str">
        <f aca="false">IF($B821="","",C821*G821*(1-D821))</f>
        <v/>
      </c>
      <c r="I821" s="17" t="str">
        <f aca="false">IF($B821="","",C821*IFERROR(INDEX(Products!$E$2:$E$201,MATCH($B821,Products!$A$2:$A$201,0)),0))</f>
        <v/>
      </c>
      <c r="J821" s="17" t="str">
        <f aca="false">IF($B821="","",H821-I821)</f>
        <v/>
      </c>
      <c r="K821" s="16" t="str">
        <f aca="false">IF($A821="","",DATE(YEAR($A821),MONTH($A821),1))</f>
        <v/>
      </c>
    </row>
    <row r="822" customFormat="false" ht="15" hidden="false" customHeight="false" outlineLevel="0" collapsed="false">
      <c r="A822" s="25"/>
      <c r="B822" s="19"/>
      <c r="C822" s="19"/>
      <c r="D822" s="26"/>
      <c r="E822" s="27" t="str">
        <f aca="false">IF($B822="","",IFERROR(INDEX(Products!$B$2:$B$201,MATCH($B822,Products!$A$2:$A$201,0)),"Unknown code"))</f>
        <v/>
      </c>
      <c r="F822" s="22" t="str">
        <f aca="false">IF($B822="","",IFERROR(INDEX(Products!$C$2:$C$201,MATCH($B822,Products!$A$2:$A$201,0)),""))</f>
        <v/>
      </c>
      <c r="G822" s="17" t="str">
        <f aca="false">IF($B822="","",IFERROR(INDEX(Products!$D$2:$D$201,MATCH($B822,Products!$A$2:$A$201,0)),0))</f>
        <v/>
      </c>
      <c r="H822" s="17" t="str">
        <f aca="false">IF($B822="","",C822*G822*(1-D822))</f>
        <v/>
      </c>
      <c r="I822" s="17" t="str">
        <f aca="false">IF($B822="","",C822*IFERROR(INDEX(Products!$E$2:$E$201,MATCH($B822,Products!$A$2:$A$201,0)),0))</f>
        <v/>
      </c>
      <c r="J822" s="17" t="str">
        <f aca="false">IF($B822="","",H822-I822)</f>
        <v/>
      </c>
      <c r="K822" s="16" t="str">
        <f aca="false">IF($A822="","",DATE(YEAR($A822),MONTH($A822),1))</f>
        <v/>
      </c>
    </row>
    <row r="823" customFormat="false" ht="15" hidden="false" customHeight="false" outlineLevel="0" collapsed="false">
      <c r="A823" s="25"/>
      <c r="B823" s="19"/>
      <c r="C823" s="19"/>
      <c r="D823" s="26"/>
      <c r="E823" s="27" t="str">
        <f aca="false">IF($B823="","",IFERROR(INDEX(Products!$B$2:$B$201,MATCH($B823,Products!$A$2:$A$201,0)),"Unknown code"))</f>
        <v/>
      </c>
      <c r="F823" s="22" t="str">
        <f aca="false">IF($B823="","",IFERROR(INDEX(Products!$C$2:$C$201,MATCH($B823,Products!$A$2:$A$201,0)),""))</f>
        <v/>
      </c>
      <c r="G823" s="17" t="str">
        <f aca="false">IF($B823="","",IFERROR(INDEX(Products!$D$2:$D$201,MATCH($B823,Products!$A$2:$A$201,0)),0))</f>
        <v/>
      </c>
      <c r="H823" s="17" t="str">
        <f aca="false">IF($B823="","",C823*G823*(1-D823))</f>
        <v/>
      </c>
      <c r="I823" s="17" t="str">
        <f aca="false">IF($B823="","",C823*IFERROR(INDEX(Products!$E$2:$E$201,MATCH($B823,Products!$A$2:$A$201,0)),0))</f>
        <v/>
      </c>
      <c r="J823" s="17" t="str">
        <f aca="false">IF($B823="","",H823-I823)</f>
        <v/>
      </c>
      <c r="K823" s="16" t="str">
        <f aca="false">IF($A823="","",DATE(YEAR($A823),MONTH($A823),1))</f>
        <v/>
      </c>
    </row>
    <row r="824" customFormat="false" ht="15" hidden="false" customHeight="false" outlineLevel="0" collapsed="false">
      <c r="A824" s="25"/>
      <c r="B824" s="19"/>
      <c r="C824" s="19"/>
      <c r="D824" s="26"/>
      <c r="E824" s="27" t="str">
        <f aca="false">IF($B824="","",IFERROR(INDEX(Products!$B$2:$B$201,MATCH($B824,Products!$A$2:$A$201,0)),"Unknown code"))</f>
        <v/>
      </c>
      <c r="F824" s="22" t="str">
        <f aca="false">IF($B824="","",IFERROR(INDEX(Products!$C$2:$C$201,MATCH($B824,Products!$A$2:$A$201,0)),""))</f>
        <v/>
      </c>
      <c r="G824" s="17" t="str">
        <f aca="false">IF($B824="","",IFERROR(INDEX(Products!$D$2:$D$201,MATCH($B824,Products!$A$2:$A$201,0)),0))</f>
        <v/>
      </c>
      <c r="H824" s="17" t="str">
        <f aca="false">IF($B824="","",C824*G824*(1-D824))</f>
        <v/>
      </c>
      <c r="I824" s="17" t="str">
        <f aca="false">IF($B824="","",C824*IFERROR(INDEX(Products!$E$2:$E$201,MATCH($B824,Products!$A$2:$A$201,0)),0))</f>
        <v/>
      </c>
      <c r="J824" s="17" t="str">
        <f aca="false">IF($B824="","",H824-I824)</f>
        <v/>
      </c>
      <c r="K824" s="16" t="str">
        <f aca="false">IF($A824="","",DATE(YEAR($A824),MONTH($A824),1))</f>
        <v/>
      </c>
    </row>
    <row r="825" customFormat="false" ht="15" hidden="false" customHeight="false" outlineLevel="0" collapsed="false">
      <c r="A825" s="25"/>
      <c r="B825" s="19"/>
      <c r="C825" s="19"/>
      <c r="D825" s="26"/>
      <c r="E825" s="27" t="str">
        <f aca="false">IF($B825="","",IFERROR(INDEX(Products!$B$2:$B$201,MATCH($B825,Products!$A$2:$A$201,0)),"Unknown code"))</f>
        <v/>
      </c>
      <c r="F825" s="22" t="str">
        <f aca="false">IF($B825="","",IFERROR(INDEX(Products!$C$2:$C$201,MATCH($B825,Products!$A$2:$A$201,0)),""))</f>
        <v/>
      </c>
      <c r="G825" s="17" t="str">
        <f aca="false">IF($B825="","",IFERROR(INDEX(Products!$D$2:$D$201,MATCH($B825,Products!$A$2:$A$201,0)),0))</f>
        <v/>
      </c>
      <c r="H825" s="17" t="str">
        <f aca="false">IF($B825="","",C825*G825*(1-D825))</f>
        <v/>
      </c>
      <c r="I825" s="17" t="str">
        <f aca="false">IF($B825="","",C825*IFERROR(INDEX(Products!$E$2:$E$201,MATCH($B825,Products!$A$2:$A$201,0)),0))</f>
        <v/>
      </c>
      <c r="J825" s="17" t="str">
        <f aca="false">IF($B825="","",H825-I825)</f>
        <v/>
      </c>
      <c r="K825" s="16" t="str">
        <f aca="false">IF($A825="","",DATE(YEAR($A825),MONTH($A825),1))</f>
        <v/>
      </c>
    </row>
    <row r="826" customFormat="false" ht="15" hidden="false" customHeight="false" outlineLevel="0" collapsed="false">
      <c r="A826" s="25"/>
      <c r="B826" s="19"/>
      <c r="C826" s="19"/>
      <c r="D826" s="26"/>
      <c r="E826" s="27" t="str">
        <f aca="false">IF($B826="","",IFERROR(INDEX(Products!$B$2:$B$201,MATCH($B826,Products!$A$2:$A$201,0)),"Unknown code"))</f>
        <v/>
      </c>
      <c r="F826" s="22" t="str">
        <f aca="false">IF($B826="","",IFERROR(INDEX(Products!$C$2:$C$201,MATCH($B826,Products!$A$2:$A$201,0)),""))</f>
        <v/>
      </c>
      <c r="G826" s="17" t="str">
        <f aca="false">IF($B826="","",IFERROR(INDEX(Products!$D$2:$D$201,MATCH($B826,Products!$A$2:$A$201,0)),0))</f>
        <v/>
      </c>
      <c r="H826" s="17" t="str">
        <f aca="false">IF($B826="","",C826*G826*(1-D826))</f>
        <v/>
      </c>
      <c r="I826" s="17" t="str">
        <f aca="false">IF($B826="","",C826*IFERROR(INDEX(Products!$E$2:$E$201,MATCH($B826,Products!$A$2:$A$201,0)),0))</f>
        <v/>
      </c>
      <c r="J826" s="17" t="str">
        <f aca="false">IF($B826="","",H826-I826)</f>
        <v/>
      </c>
      <c r="K826" s="16" t="str">
        <f aca="false">IF($A826="","",DATE(YEAR($A826),MONTH($A826),1))</f>
        <v/>
      </c>
    </row>
    <row r="827" customFormat="false" ht="15" hidden="false" customHeight="false" outlineLevel="0" collapsed="false">
      <c r="A827" s="25"/>
      <c r="B827" s="19"/>
      <c r="C827" s="19"/>
      <c r="D827" s="26"/>
      <c r="E827" s="27" t="str">
        <f aca="false">IF($B827="","",IFERROR(INDEX(Products!$B$2:$B$201,MATCH($B827,Products!$A$2:$A$201,0)),"Unknown code"))</f>
        <v/>
      </c>
      <c r="F827" s="22" t="str">
        <f aca="false">IF($B827="","",IFERROR(INDEX(Products!$C$2:$C$201,MATCH($B827,Products!$A$2:$A$201,0)),""))</f>
        <v/>
      </c>
      <c r="G827" s="17" t="str">
        <f aca="false">IF($B827="","",IFERROR(INDEX(Products!$D$2:$D$201,MATCH($B827,Products!$A$2:$A$201,0)),0))</f>
        <v/>
      </c>
      <c r="H827" s="17" t="str">
        <f aca="false">IF($B827="","",C827*G827*(1-D827))</f>
        <v/>
      </c>
      <c r="I827" s="17" t="str">
        <f aca="false">IF($B827="","",C827*IFERROR(INDEX(Products!$E$2:$E$201,MATCH($B827,Products!$A$2:$A$201,0)),0))</f>
        <v/>
      </c>
      <c r="J827" s="17" t="str">
        <f aca="false">IF($B827="","",H827-I827)</f>
        <v/>
      </c>
      <c r="K827" s="16" t="str">
        <f aca="false">IF($A827="","",DATE(YEAR($A827),MONTH($A827),1))</f>
        <v/>
      </c>
    </row>
    <row r="828" customFormat="false" ht="15" hidden="false" customHeight="false" outlineLevel="0" collapsed="false">
      <c r="A828" s="25"/>
      <c r="B828" s="19"/>
      <c r="C828" s="19"/>
      <c r="D828" s="26"/>
      <c r="E828" s="27" t="str">
        <f aca="false">IF($B828="","",IFERROR(INDEX(Products!$B$2:$B$201,MATCH($B828,Products!$A$2:$A$201,0)),"Unknown code"))</f>
        <v/>
      </c>
      <c r="F828" s="22" t="str">
        <f aca="false">IF($B828="","",IFERROR(INDEX(Products!$C$2:$C$201,MATCH($B828,Products!$A$2:$A$201,0)),""))</f>
        <v/>
      </c>
      <c r="G828" s="17" t="str">
        <f aca="false">IF($B828="","",IFERROR(INDEX(Products!$D$2:$D$201,MATCH($B828,Products!$A$2:$A$201,0)),0))</f>
        <v/>
      </c>
      <c r="H828" s="17" t="str">
        <f aca="false">IF($B828="","",C828*G828*(1-D828))</f>
        <v/>
      </c>
      <c r="I828" s="17" t="str">
        <f aca="false">IF($B828="","",C828*IFERROR(INDEX(Products!$E$2:$E$201,MATCH($B828,Products!$A$2:$A$201,0)),0))</f>
        <v/>
      </c>
      <c r="J828" s="17" t="str">
        <f aca="false">IF($B828="","",H828-I828)</f>
        <v/>
      </c>
      <c r="K828" s="16" t="str">
        <f aca="false">IF($A828="","",DATE(YEAR($A828),MONTH($A828),1))</f>
        <v/>
      </c>
    </row>
    <row r="829" customFormat="false" ht="15" hidden="false" customHeight="false" outlineLevel="0" collapsed="false">
      <c r="A829" s="25"/>
      <c r="B829" s="19"/>
      <c r="C829" s="19"/>
      <c r="D829" s="26"/>
      <c r="E829" s="27" t="str">
        <f aca="false">IF($B829="","",IFERROR(INDEX(Products!$B$2:$B$201,MATCH($B829,Products!$A$2:$A$201,0)),"Unknown code"))</f>
        <v/>
      </c>
      <c r="F829" s="22" t="str">
        <f aca="false">IF($B829="","",IFERROR(INDEX(Products!$C$2:$C$201,MATCH($B829,Products!$A$2:$A$201,0)),""))</f>
        <v/>
      </c>
      <c r="G829" s="17" t="str">
        <f aca="false">IF($B829="","",IFERROR(INDEX(Products!$D$2:$D$201,MATCH($B829,Products!$A$2:$A$201,0)),0))</f>
        <v/>
      </c>
      <c r="H829" s="17" t="str">
        <f aca="false">IF($B829="","",C829*G829*(1-D829))</f>
        <v/>
      </c>
      <c r="I829" s="17" t="str">
        <f aca="false">IF($B829="","",C829*IFERROR(INDEX(Products!$E$2:$E$201,MATCH($B829,Products!$A$2:$A$201,0)),0))</f>
        <v/>
      </c>
      <c r="J829" s="17" t="str">
        <f aca="false">IF($B829="","",H829-I829)</f>
        <v/>
      </c>
      <c r="K829" s="16" t="str">
        <f aca="false">IF($A829="","",DATE(YEAR($A829),MONTH($A829),1))</f>
        <v/>
      </c>
    </row>
    <row r="830" customFormat="false" ht="15" hidden="false" customHeight="false" outlineLevel="0" collapsed="false">
      <c r="A830" s="25"/>
      <c r="B830" s="19"/>
      <c r="C830" s="19"/>
      <c r="D830" s="26"/>
      <c r="E830" s="27" t="str">
        <f aca="false">IF($B830="","",IFERROR(INDEX(Products!$B$2:$B$201,MATCH($B830,Products!$A$2:$A$201,0)),"Unknown code"))</f>
        <v/>
      </c>
      <c r="F830" s="22" t="str">
        <f aca="false">IF($B830="","",IFERROR(INDEX(Products!$C$2:$C$201,MATCH($B830,Products!$A$2:$A$201,0)),""))</f>
        <v/>
      </c>
      <c r="G830" s="17" t="str">
        <f aca="false">IF($B830="","",IFERROR(INDEX(Products!$D$2:$D$201,MATCH($B830,Products!$A$2:$A$201,0)),0))</f>
        <v/>
      </c>
      <c r="H830" s="17" t="str">
        <f aca="false">IF($B830="","",C830*G830*(1-D830))</f>
        <v/>
      </c>
      <c r="I830" s="17" t="str">
        <f aca="false">IF($B830="","",C830*IFERROR(INDEX(Products!$E$2:$E$201,MATCH($B830,Products!$A$2:$A$201,0)),0))</f>
        <v/>
      </c>
      <c r="J830" s="17" t="str">
        <f aca="false">IF($B830="","",H830-I830)</f>
        <v/>
      </c>
      <c r="K830" s="16" t="str">
        <f aca="false">IF($A830="","",DATE(YEAR($A830),MONTH($A830),1))</f>
        <v/>
      </c>
    </row>
    <row r="831" customFormat="false" ht="15" hidden="false" customHeight="false" outlineLevel="0" collapsed="false">
      <c r="A831" s="25"/>
      <c r="B831" s="19"/>
      <c r="C831" s="19"/>
      <c r="D831" s="26"/>
      <c r="E831" s="27" t="str">
        <f aca="false">IF($B831="","",IFERROR(INDEX(Products!$B$2:$B$201,MATCH($B831,Products!$A$2:$A$201,0)),"Unknown code"))</f>
        <v/>
      </c>
      <c r="F831" s="22" t="str">
        <f aca="false">IF($B831="","",IFERROR(INDEX(Products!$C$2:$C$201,MATCH($B831,Products!$A$2:$A$201,0)),""))</f>
        <v/>
      </c>
      <c r="G831" s="17" t="str">
        <f aca="false">IF($B831="","",IFERROR(INDEX(Products!$D$2:$D$201,MATCH($B831,Products!$A$2:$A$201,0)),0))</f>
        <v/>
      </c>
      <c r="H831" s="17" t="str">
        <f aca="false">IF($B831="","",C831*G831*(1-D831))</f>
        <v/>
      </c>
      <c r="I831" s="17" t="str">
        <f aca="false">IF($B831="","",C831*IFERROR(INDEX(Products!$E$2:$E$201,MATCH($B831,Products!$A$2:$A$201,0)),0))</f>
        <v/>
      </c>
      <c r="J831" s="17" t="str">
        <f aca="false">IF($B831="","",H831-I831)</f>
        <v/>
      </c>
      <c r="K831" s="16" t="str">
        <f aca="false">IF($A831="","",DATE(YEAR($A831),MONTH($A831),1))</f>
        <v/>
      </c>
    </row>
    <row r="832" customFormat="false" ht="15" hidden="false" customHeight="false" outlineLevel="0" collapsed="false">
      <c r="A832" s="25"/>
      <c r="B832" s="19"/>
      <c r="C832" s="19"/>
      <c r="D832" s="26"/>
      <c r="E832" s="27" t="str">
        <f aca="false">IF($B832="","",IFERROR(INDEX(Products!$B$2:$B$201,MATCH($B832,Products!$A$2:$A$201,0)),"Unknown code"))</f>
        <v/>
      </c>
      <c r="F832" s="22" t="str">
        <f aca="false">IF($B832="","",IFERROR(INDEX(Products!$C$2:$C$201,MATCH($B832,Products!$A$2:$A$201,0)),""))</f>
        <v/>
      </c>
      <c r="G832" s="17" t="str">
        <f aca="false">IF($B832="","",IFERROR(INDEX(Products!$D$2:$D$201,MATCH($B832,Products!$A$2:$A$201,0)),0))</f>
        <v/>
      </c>
      <c r="H832" s="17" t="str">
        <f aca="false">IF($B832="","",C832*G832*(1-D832))</f>
        <v/>
      </c>
      <c r="I832" s="17" t="str">
        <f aca="false">IF($B832="","",C832*IFERROR(INDEX(Products!$E$2:$E$201,MATCH($B832,Products!$A$2:$A$201,0)),0))</f>
        <v/>
      </c>
      <c r="J832" s="17" t="str">
        <f aca="false">IF($B832="","",H832-I832)</f>
        <v/>
      </c>
      <c r="K832" s="16" t="str">
        <f aca="false">IF($A832="","",DATE(YEAR($A832),MONTH($A832),1))</f>
        <v/>
      </c>
    </row>
    <row r="833" customFormat="false" ht="15" hidden="false" customHeight="false" outlineLevel="0" collapsed="false">
      <c r="A833" s="25"/>
      <c r="B833" s="19"/>
      <c r="C833" s="19"/>
      <c r="D833" s="26"/>
      <c r="E833" s="27" t="str">
        <f aca="false">IF($B833="","",IFERROR(INDEX(Products!$B$2:$B$201,MATCH($B833,Products!$A$2:$A$201,0)),"Unknown code"))</f>
        <v/>
      </c>
      <c r="F833" s="22" t="str">
        <f aca="false">IF($B833="","",IFERROR(INDEX(Products!$C$2:$C$201,MATCH($B833,Products!$A$2:$A$201,0)),""))</f>
        <v/>
      </c>
      <c r="G833" s="17" t="str">
        <f aca="false">IF($B833="","",IFERROR(INDEX(Products!$D$2:$D$201,MATCH($B833,Products!$A$2:$A$201,0)),0))</f>
        <v/>
      </c>
      <c r="H833" s="17" t="str">
        <f aca="false">IF($B833="","",C833*G833*(1-D833))</f>
        <v/>
      </c>
      <c r="I833" s="17" t="str">
        <f aca="false">IF($B833="","",C833*IFERROR(INDEX(Products!$E$2:$E$201,MATCH($B833,Products!$A$2:$A$201,0)),0))</f>
        <v/>
      </c>
      <c r="J833" s="17" t="str">
        <f aca="false">IF($B833="","",H833-I833)</f>
        <v/>
      </c>
      <c r="K833" s="16" t="str">
        <f aca="false">IF($A833="","",DATE(YEAR($A833),MONTH($A833),1))</f>
        <v/>
      </c>
    </row>
    <row r="834" customFormat="false" ht="15" hidden="false" customHeight="false" outlineLevel="0" collapsed="false">
      <c r="A834" s="25"/>
      <c r="B834" s="19"/>
      <c r="C834" s="19"/>
      <c r="D834" s="26"/>
      <c r="E834" s="27" t="str">
        <f aca="false">IF($B834="","",IFERROR(INDEX(Products!$B$2:$B$201,MATCH($B834,Products!$A$2:$A$201,0)),"Unknown code"))</f>
        <v/>
      </c>
      <c r="F834" s="22" t="str">
        <f aca="false">IF($B834="","",IFERROR(INDEX(Products!$C$2:$C$201,MATCH($B834,Products!$A$2:$A$201,0)),""))</f>
        <v/>
      </c>
      <c r="G834" s="17" t="str">
        <f aca="false">IF($B834="","",IFERROR(INDEX(Products!$D$2:$D$201,MATCH($B834,Products!$A$2:$A$201,0)),0))</f>
        <v/>
      </c>
      <c r="H834" s="17" t="str">
        <f aca="false">IF($B834="","",C834*G834*(1-D834))</f>
        <v/>
      </c>
      <c r="I834" s="17" t="str">
        <f aca="false">IF($B834="","",C834*IFERROR(INDEX(Products!$E$2:$E$201,MATCH($B834,Products!$A$2:$A$201,0)),0))</f>
        <v/>
      </c>
      <c r="J834" s="17" t="str">
        <f aca="false">IF($B834="","",H834-I834)</f>
        <v/>
      </c>
      <c r="K834" s="16" t="str">
        <f aca="false">IF($A834="","",DATE(YEAR($A834),MONTH($A834),1))</f>
        <v/>
      </c>
    </row>
    <row r="835" customFormat="false" ht="15" hidden="false" customHeight="false" outlineLevel="0" collapsed="false">
      <c r="A835" s="25"/>
      <c r="B835" s="19"/>
      <c r="C835" s="19"/>
      <c r="D835" s="26"/>
      <c r="E835" s="27" t="str">
        <f aca="false">IF($B835="","",IFERROR(INDEX(Products!$B$2:$B$201,MATCH($B835,Products!$A$2:$A$201,0)),"Unknown code"))</f>
        <v/>
      </c>
      <c r="F835" s="22" t="str">
        <f aca="false">IF($B835="","",IFERROR(INDEX(Products!$C$2:$C$201,MATCH($B835,Products!$A$2:$A$201,0)),""))</f>
        <v/>
      </c>
      <c r="G835" s="17" t="str">
        <f aca="false">IF($B835="","",IFERROR(INDEX(Products!$D$2:$D$201,MATCH($B835,Products!$A$2:$A$201,0)),0))</f>
        <v/>
      </c>
      <c r="H835" s="17" t="str">
        <f aca="false">IF($B835="","",C835*G835*(1-D835))</f>
        <v/>
      </c>
      <c r="I835" s="17" t="str">
        <f aca="false">IF($B835="","",C835*IFERROR(INDEX(Products!$E$2:$E$201,MATCH($B835,Products!$A$2:$A$201,0)),0))</f>
        <v/>
      </c>
      <c r="J835" s="17" t="str">
        <f aca="false">IF($B835="","",H835-I835)</f>
        <v/>
      </c>
      <c r="K835" s="16" t="str">
        <f aca="false">IF($A835="","",DATE(YEAR($A835),MONTH($A835),1))</f>
        <v/>
      </c>
    </row>
    <row r="836" customFormat="false" ht="15" hidden="false" customHeight="false" outlineLevel="0" collapsed="false">
      <c r="A836" s="25"/>
      <c r="B836" s="19"/>
      <c r="C836" s="19"/>
      <c r="D836" s="26"/>
      <c r="E836" s="27" t="str">
        <f aca="false">IF($B836="","",IFERROR(INDEX(Products!$B$2:$B$201,MATCH($B836,Products!$A$2:$A$201,0)),"Unknown code"))</f>
        <v/>
      </c>
      <c r="F836" s="22" t="str">
        <f aca="false">IF($B836="","",IFERROR(INDEX(Products!$C$2:$C$201,MATCH($B836,Products!$A$2:$A$201,0)),""))</f>
        <v/>
      </c>
      <c r="G836" s="17" t="str">
        <f aca="false">IF($B836="","",IFERROR(INDEX(Products!$D$2:$D$201,MATCH($B836,Products!$A$2:$A$201,0)),0))</f>
        <v/>
      </c>
      <c r="H836" s="17" t="str">
        <f aca="false">IF($B836="","",C836*G836*(1-D836))</f>
        <v/>
      </c>
      <c r="I836" s="17" t="str">
        <f aca="false">IF($B836="","",C836*IFERROR(INDEX(Products!$E$2:$E$201,MATCH($B836,Products!$A$2:$A$201,0)),0))</f>
        <v/>
      </c>
      <c r="J836" s="17" t="str">
        <f aca="false">IF($B836="","",H836-I836)</f>
        <v/>
      </c>
      <c r="K836" s="16" t="str">
        <f aca="false">IF($A836="","",DATE(YEAR($A836),MONTH($A836),1))</f>
        <v/>
      </c>
    </row>
    <row r="837" customFormat="false" ht="15" hidden="false" customHeight="false" outlineLevel="0" collapsed="false">
      <c r="A837" s="25"/>
      <c r="B837" s="19"/>
      <c r="C837" s="19"/>
      <c r="D837" s="26"/>
      <c r="E837" s="27" t="str">
        <f aca="false">IF($B837="","",IFERROR(INDEX(Products!$B$2:$B$201,MATCH($B837,Products!$A$2:$A$201,0)),"Unknown code"))</f>
        <v/>
      </c>
      <c r="F837" s="22" t="str">
        <f aca="false">IF($B837="","",IFERROR(INDEX(Products!$C$2:$C$201,MATCH($B837,Products!$A$2:$A$201,0)),""))</f>
        <v/>
      </c>
      <c r="G837" s="17" t="str">
        <f aca="false">IF($B837="","",IFERROR(INDEX(Products!$D$2:$D$201,MATCH($B837,Products!$A$2:$A$201,0)),0))</f>
        <v/>
      </c>
      <c r="H837" s="17" t="str">
        <f aca="false">IF($B837="","",C837*G837*(1-D837))</f>
        <v/>
      </c>
      <c r="I837" s="17" t="str">
        <f aca="false">IF($B837="","",C837*IFERROR(INDEX(Products!$E$2:$E$201,MATCH($B837,Products!$A$2:$A$201,0)),0))</f>
        <v/>
      </c>
      <c r="J837" s="17" t="str">
        <f aca="false">IF($B837="","",H837-I837)</f>
        <v/>
      </c>
      <c r="K837" s="16" t="str">
        <f aca="false">IF($A837="","",DATE(YEAR($A837),MONTH($A837),1))</f>
        <v/>
      </c>
    </row>
    <row r="838" customFormat="false" ht="15" hidden="false" customHeight="false" outlineLevel="0" collapsed="false">
      <c r="A838" s="25"/>
      <c r="B838" s="19"/>
      <c r="C838" s="19"/>
      <c r="D838" s="26"/>
      <c r="E838" s="27" t="str">
        <f aca="false">IF($B838="","",IFERROR(INDEX(Products!$B$2:$B$201,MATCH($B838,Products!$A$2:$A$201,0)),"Unknown code"))</f>
        <v/>
      </c>
      <c r="F838" s="22" t="str">
        <f aca="false">IF($B838="","",IFERROR(INDEX(Products!$C$2:$C$201,MATCH($B838,Products!$A$2:$A$201,0)),""))</f>
        <v/>
      </c>
      <c r="G838" s="17" t="str">
        <f aca="false">IF($B838="","",IFERROR(INDEX(Products!$D$2:$D$201,MATCH($B838,Products!$A$2:$A$201,0)),0))</f>
        <v/>
      </c>
      <c r="H838" s="17" t="str">
        <f aca="false">IF($B838="","",C838*G838*(1-D838))</f>
        <v/>
      </c>
      <c r="I838" s="17" t="str">
        <f aca="false">IF($B838="","",C838*IFERROR(INDEX(Products!$E$2:$E$201,MATCH($B838,Products!$A$2:$A$201,0)),0))</f>
        <v/>
      </c>
      <c r="J838" s="17" t="str">
        <f aca="false">IF($B838="","",H838-I838)</f>
        <v/>
      </c>
      <c r="K838" s="16" t="str">
        <f aca="false">IF($A838="","",DATE(YEAR($A838),MONTH($A838),1))</f>
        <v/>
      </c>
    </row>
    <row r="839" customFormat="false" ht="15" hidden="false" customHeight="false" outlineLevel="0" collapsed="false">
      <c r="A839" s="25"/>
      <c r="B839" s="19"/>
      <c r="C839" s="19"/>
      <c r="D839" s="26"/>
      <c r="E839" s="27" t="str">
        <f aca="false">IF($B839="","",IFERROR(INDEX(Products!$B$2:$B$201,MATCH($B839,Products!$A$2:$A$201,0)),"Unknown code"))</f>
        <v/>
      </c>
      <c r="F839" s="22" t="str">
        <f aca="false">IF($B839="","",IFERROR(INDEX(Products!$C$2:$C$201,MATCH($B839,Products!$A$2:$A$201,0)),""))</f>
        <v/>
      </c>
      <c r="G839" s="17" t="str">
        <f aca="false">IF($B839="","",IFERROR(INDEX(Products!$D$2:$D$201,MATCH($B839,Products!$A$2:$A$201,0)),0))</f>
        <v/>
      </c>
      <c r="H839" s="17" t="str">
        <f aca="false">IF($B839="","",C839*G839*(1-D839))</f>
        <v/>
      </c>
      <c r="I839" s="17" t="str">
        <f aca="false">IF($B839="","",C839*IFERROR(INDEX(Products!$E$2:$E$201,MATCH($B839,Products!$A$2:$A$201,0)),0))</f>
        <v/>
      </c>
      <c r="J839" s="17" t="str">
        <f aca="false">IF($B839="","",H839-I839)</f>
        <v/>
      </c>
      <c r="K839" s="16" t="str">
        <f aca="false">IF($A839="","",DATE(YEAR($A839),MONTH($A839),1))</f>
        <v/>
      </c>
    </row>
    <row r="840" customFormat="false" ht="15" hidden="false" customHeight="false" outlineLevel="0" collapsed="false">
      <c r="A840" s="25"/>
      <c r="B840" s="19"/>
      <c r="C840" s="19"/>
      <c r="D840" s="26"/>
      <c r="E840" s="27" t="str">
        <f aca="false">IF($B840="","",IFERROR(INDEX(Products!$B$2:$B$201,MATCH($B840,Products!$A$2:$A$201,0)),"Unknown code"))</f>
        <v/>
      </c>
      <c r="F840" s="22" t="str">
        <f aca="false">IF($B840="","",IFERROR(INDEX(Products!$C$2:$C$201,MATCH($B840,Products!$A$2:$A$201,0)),""))</f>
        <v/>
      </c>
      <c r="G840" s="17" t="str">
        <f aca="false">IF($B840="","",IFERROR(INDEX(Products!$D$2:$D$201,MATCH($B840,Products!$A$2:$A$201,0)),0))</f>
        <v/>
      </c>
      <c r="H840" s="17" t="str">
        <f aca="false">IF($B840="","",C840*G840*(1-D840))</f>
        <v/>
      </c>
      <c r="I840" s="17" t="str">
        <f aca="false">IF($B840="","",C840*IFERROR(INDEX(Products!$E$2:$E$201,MATCH($B840,Products!$A$2:$A$201,0)),0))</f>
        <v/>
      </c>
      <c r="J840" s="17" t="str">
        <f aca="false">IF($B840="","",H840-I840)</f>
        <v/>
      </c>
      <c r="K840" s="16" t="str">
        <f aca="false">IF($A840="","",DATE(YEAR($A840),MONTH($A840),1))</f>
        <v/>
      </c>
    </row>
    <row r="841" customFormat="false" ht="15" hidden="false" customHeight="false" outlineLevel="0" collapsed="false">
      <c r="A841" s="25"/>
      <c r="B841" s="19"/>
      <c r="C841" s="19"/>
      <c r="D841" s="26"/>
      <c r="E841" s="27" t="str">
        <f aca="false">IF($B841="","",IFERROR(INDEX(Products!$B$2:$B$201,MATCH($B841,Products!$A$2:$A$201,0)),"Unknown code"))</f>
        <v/>
      </c>
      <c r="F841" s="22" t="str">
        <f aca="false">IF($B841="","",IFERROR(INDEX(Products!$C$2:$C$201,MATCH($B841,Products!$A$2:$A$201,0)),""))</f>
        <v/>
      </c>
      <c r="G841" s="17" t="str">
        <f aca="false">IF($B841="","",IFERROR(INDEX(Products!$D$2:$D$201,MATCH($B841,Products!$A$2:$A$201,0)),0))</f>
        <v/>
      </c>
      <c r="H841" s="17" t="str">
        <f aca="false">IF($B841="","",C841*G841*(1-D841))</f>
        <v/>
      </c>
      <c r="I841" s="17" t="str">
        <f aca="false">IF($B841="","",C841*IFERROR(INDEX(Products!$E$2:$E$201,MATCH($B841,Products!$A$2:$A$201,0)),0))</f>
        <v/>
      </c>
      <c r="J841" s="17" t="str">
        <f aca="false">IF($B841="","",H841-I841)</f>
        <v/>
      </c>
      <c r="K841" s="16" t="str">
        <f aca="false">IF($A841="","",DATE(YEAR($A841),MONTH($A841),1))</f>
        <v/>
      </c>
    </row>
    <row r="842" customFormat="false" ht="15" hidden="false" customHeight="false" outlineLevel="0" collapsed="false">
      <c r="A842" s="25"/>
      <c r="B842" s="19"/>
      <c r="C842" s="19"/>
      <c r="D842" s="26"/>
      <c r="E842" s="27" t="str">
        <f aca="false">IF($B842="","",IFERROR(INDEX(Products!$B$2:$B$201,MATCH($B842,Products!$A$2:$A$201,0)),"Unknown code"))</f>
        <v/>
      </c>
      <c r="F842" s="22" t="str">
        <f aca="false">IF($B842="","",IFERROR(INDEX(Products!$C$2:$C$201,MATCH($B842,Products!$A$2:$A$201,0)),""))</f>
        <v/>
      </c>
      <c r="G842" s="17" t="str">
        <f aca="false">IF($B842="","",IFERROR(INDEX(Products!$D$2:$D$201,MATCH($B842,Products!$A$2:$A$201,0)),0))</f>
        <v/>
      </c>
      <c r="H842" s="17" t="str">
        <f aca="false">IF($B842="","",C842*G842*(1-D842))</f>
        <v/>
      </c>
      <c r="I842" s="17" t="str">
        <f aca="false">IF($B842="","",C842*IFERROR(INDEX(Products!$E$2:$E$201,MATCH($B842,Products!$A$2:$A$201,0)),0))</f>
        <v/>
      </c>
      <c r="J842" s="17" t="str">
        <f aca="false">IF($B842="","",H842-I842)</f>
        <v/>
      </c>
      <c r="K842" s="16" t="str">
        <f aca="false">IF($A842="","",DATE(YEAR($A842),MONTH($A842),1))</f>
        <v/>
      </c>
    </row>
    <row r="843" customFormat="false" ht="15" hidden="false" customHeight="false" outlineLevel="0" collapsed="false">
      <c r="A843" s="25"/>
      <c r="B843" s="19"/>
      <c r="C843" s="19"/>
      <c r="D843" s="26"/>
      <c r="E843" s="27" t="str">
        <f aca="false">IF($B843="","",IFERROR(INDEX(Products!$B$2:$B$201,MATCH($B843,Products!$A$2:$A$201,0)),"Unknown code"))</f>
        <v/>
      </c>
      <c r="F843" s="22" t="str">
        <f aca="false">IF($B843="","",IFERROR(INDEX(Products!$C$2:$C$201,MATCH($B843,Products!$A$2:$A$201,0)),""))</f>
        <v/>
      </c>
      <c r="G843" s="17" t="str">
        <f aca="false">IF($B843="","",IFERROR(INDEX(Products!$D$2:$D$201,MATCH($B843,Products!$A$2:$A$201,0)),0))</f>
        <v/>
      </c>
      <c r="H843" s="17" t="str">
        <f aca="false">IF($B843="","",C843*G843*(1-D843))</f>
        <v/>
      </c>
      <c r="I843" s="17" t="str">
        <f aca="false">IF($B843="","",C843*IFERROR(INDEX(Products!$E$2:$E$201,MATCH($B843,Products!$A$2:$A$201,0)),0))</f>
        <v/>
      </c>
      <c r="J843" s="17" t="str">
        <f aca="false">IF($B843="","",H843-I843)</f>
        <v/>
      </c>
      <c r="K843" s="16" t="str">
        <f aca="false">IF($A843="","",DATE(YEAR($A843),MONTH($A843),1))</f>
        <v/>
      </c>
    </row>
    <row r="844" customFormat="false" ht="15" hidden="false" customHeight="false" outlineLevel="0" collapsed="false">
      <c r="A844" s="25"/>
      <c r="B844" s="19"/>
      <c r="C844" s="19"/>
      <c r="D844" s="26"/>
      <c r="E844" s="27" t="str">
        <f aca="false">IF($B844="","",IFERROR(INDEX(Products!$B$2:$B$201,MATCH($B844,Products!$A$2:$A$201,0)),"Unknown code"))</f>
        <v/>
      </c>
      <c r="F844" s="22" t="str">
        <f aca="false">IF($B844="","",IFERROR(INDEX(Products!$C$2:$C$201,MATCH($B844,Products!$A$2:$A$201,0)),""))</f>
        <v/>
      </c>
      <c r="G844" s="17" t="str">
        <f aca="false">IF($B844="","",IFERROR(INDEX(Products!$D$2:$D$201,MATCH($B844,Products!$A$2:$A$201,0)),0))</f>
        <v/>
      </c>
      <c r="H844" s="17" t="str">
        <f aca="false">IF($B844="","",C844*G844*(1-D844))</f>
        <v/>
      </c>
      <c r="I844" s="17" t="str">
        <f aca="false">IF($B844="","",C844*IFERROR(INDEX(Products!$E$2:$E$201,MATCH($B844,Products!$A$2:$A$201,0)),0))</f>
        <v/>
      </c>
      <c r="J844" s="17" t="str">
        <f aca="false">IF($B844="","",H844-I844)</f>
        <v/>
      </c>
      <c r="K844" s="16" t="str">
        <f aca="false">IF($A844="","",DATE(YEAR($A844),MONTH($A844),1))</f>
        <v/>
      </c>
    </row>
    <row r="845" customFormat="false" ht="15" hidden="false" customHeight="false" outlineLevel="0" collapsed="false">
      <c r="A845" s="25"/>
      <c r="B845" s="19"/>
      <c r="C845" s="19"/>
      <c r="D845" s="26"/>
      <c r="E845" s="27" t="str">
        <f aca="false">IF($B845="","",IFERROR(INDEX(Products!$B$2:$B$201,MATCH($B845,Products!$A$2:$A$201,0)),"Unknown code"))</f>
        <v/>
      </c>
      <c r="F845" s="22" t="str">
        <f aca="false">IF($B845="","",IFERROR(INDEX(Products!$C$2:$C$201,MATCH($B845,Products!$A$2:$A$201,0)),""))</f>
        <v/>
      </c>
      <c r="G845" s="17" t="str">
        <f aca="false">IF($B845="","",IFERROR(INDEX(Products!$D$2:$D$201,MATCH($B845,Products!$A$2:$A$201,0)),0))</f>
        <v/>
      </c>
      <c r="H845" s="17" t="str">
        <f aca="false">IF($B845="","",C845*G845*(1-D845))</f>
        <v/>
      </c>
      <c r="I845" s="17" t="str">
        <f aca="false">IF($B845="","",C845*IFERROR(INDEX(Products!$E$2:$E$201,MATCH($B845,Products!$A$2:$A$201,0)),0))</f>
        <v/>
      </c>
      <c r="J845" s="17" t="str">
        <f aca="false">IF($B845="","",H845-I845)</f>
        <v/>
      </c>
      <c r="K845" s="16" t="str">
        <f aca="false">IF($A845="","",DATE(YEAR($A845),MONTH($A845),1))</f>
        <v/>
      </c>
    </row>
    <row r="846" customFormat="false" ht="15" hidden="false" customHeight="false" outlineLevel="0" collapsed="false">
      <c r="A846" s="25"/>
      <c r="B846" s="19"/>
      <c r="C846" s="19"/>
      <c r="D846" s="26"/>
      <c r="E846" s="27" t="str">
        <f aca="false">IF($B846="","",IFERROR(INDEX(Products!$B$2:$B$201,MATCH($B846,Products!$A$2:$A$201,0)),"Unknown code"))</f>
        <v/>
      </c>
      <c r="F846" s="22" t="str">
        <f aca="false">IF($B846="","",IFERROR(INDEX(Products!$C$2:$C$201,MATCH($B846,Products!$A$2:$A$201,0)),""))</f>
        <v/>
      </c>
      <c r="G846" s="17" t="str">
        <f aca="false">IF($B846="","",IFERROR(INDEX(Products!$D$2:$D$201,MATCH($B846,Products!$A$2:$A$201,0)),0))</f>
        <v/>
      </c>
      <c r="H846" s="17" t="str">
        <f aca="false">IF($B846="","",C846*G846*(1-D846))</f>
        <v/>
      </c>
      <c r="I846" s="17" t="str">
        <f aca="false">IF($B846="","",C846*IFERROR(INDEX(Products!$E$2:$E$201,MATCH($B846,Products!$A$2:$A$201,0)),0))</f>
        <v/>
      </c>
      <c r="J846" s="17" t="str">
        <f aca="false">IF($B846="","",H846-I846)</f>
        <v/>
      </c>
      <c r="K846" s="16" t="str">
        <f aca="false">IF($A846="","",DATE(YEAR($A846),MONTH($A846),1))</f>
        <v/>
      </c>
    </row>
    <row r="847" customFormat="false" ht="15" hidden="false" customHeight="false" outlineLevel="0" collapsed="false">
      <c r="A847" s="25"/>
      <c r="B847" s="19"/>
      <c r="C847" s="19"/>
      <c r="D847" s="26"/>
      <c r="E847" s="27" t="str">
        <f aca="false">IF($B847="","",IFERROR(INDEX(Products!$B$2:$B$201,MATCH($B847,Products!$A$2:$A$201,0)),"Unknown code"))</f>
        <v/>
      </c>
      <c r="F847" s="22" t="str">
        <f aca="false">IF($B847="","",IFERROR(INDEX(Products!$C$2:$C$201,MATCH($B847,Products!$A$2:$A$201,0)),""))</f>
        <v/>
      </c>
      <c r="G847" s="17" t="str">
        <f aca="false">IF($B847="","",IFERROR(INDEX(Products!$D$2:$D$201,MATCH($B847,Products!$A$2:$A$201,0)),0))</f>
        <v/>
      </c>
      <c r="H847" s="17" t="str">
        <f aca="false">IF($B847="","",C847*G847*(1-D847))</f>
        <v/>
      </c>
      <c r="I847" s="17" t="str">
        <f aca="false">IF($B847="","",C847*IFERROR(INDEX(Products!$E$2:$E$201,MATCH($B847,Products!$A$2:$A$201,0)),0))</f>
        <v/>
      </c>
      <c r="J847" s="17" t="str">
        <f aca="false">IF($B847="","",H847-I847)</f>
        <v/>
      </c>
      <c r="K847" s="16" t="str">
        <f aca="false">IF($A847="","",DATE(YEAR($A847),MONTH($A847),1))</f>
        <v/>
      </c>
    </row>
    <row r="848" customFormat="false" ht="15" hidden="false" customHeight="false" outlineLevel="0" collapsed="false">
      <c r="A848" s="25"/>
      <c r="B848" s="19"/>
      <c r="C848" s="19"/>
      <c r="D848" s="26"/>
      <c r="E848" s="27" t="str">
        <f aca="false">IF($B848="","",IFERROR(INDEX(Products!$B$2:$B$201,MATCH($B848,Products!$A$2:$A$201,0)),"Unknown code"))</f>
        <v/>
      </c>
      <c r="F848" s="22" t="str">
        <f aca="false">IF($B848="","",IFERROR(INDEX(Products!$C$2:$C$201,MATCH($B848,Products!$A$2:$A$201,0)),""))</f>
        <v/>
      </c>
      <c r="G848" s="17" t="str">
        <f aca="false">IF($B848="","",IFERROR(INDEX(Products!$D$2:$D$201,MATCH($B848,Products!$A$2:$A$201,0)),0))</f>
        <v/>
      </c>
      <c r="H848" s="17" t="str">
        <f aca="false">IF($B848="","",C848*G848*(1-D848))</f>
        <v/>
      </c>
      <c r="I848" s="17" t="str">
        <f aca="false">IF($B848="","",C848*IFERROR(INDEX(Products!$E$2:$E$201,MATCH($B848,Products!$A$2:$A$201,0)),0))</f>
        <v/>
      </c>
      <c r="J848" s="17" t="str">
        <f aca="false">IF($B848="","",H848-I848)</f>
        <v/>
      </c>
      <c r="K848" s="16" t="str">
        <f aca="false">IF($A848="","",DATE(YEAR($A848),MONTH($A848),1))</f>
        <v/>
      </c>
    </row>
    <row r="849" customFormat="false" ht="15" hidden="false" customHeight="false" outlineLevel="0" collapsed="false">
      <c r="A849" s="25"/>
      <c r="B849" s="19"/>
      <c r="C849" s="19"/>
      <c r="D849" s="26"/>
      <c r="E849" s="27" t="str">
        <f aca="false">IF($B849="","",IFERROR(INDEX(Products!$B$2:$B$201,MATCH($B849,Products!$A$2:$A$201,0)),"Unknown code"))</f>
        <v/>
      </c>
      <c r="F849" s="22" t="str">
        <f aca="false">IF($B849="","",IFERROR(INDEX(Products!$C$2:$C$201,MATCH($B849,Products!$A$2:$A$201,0)),""))</f>
        <v/>
      </c>
      <c r="G849" s="17" t="str">
        <f aca="false">IF($B849="","",IFERROR(INDEX(Products!$D$2:$D$201,MATCH($B849,Products!$A$2:$A$201,0)),0))</f>
        <v/>
      </c>
      <c r="H849" s="17" t="str">
        <f aca="false">IF($B849="","",C849*G849*(1-D849))</f>
        <v/>
      </c>
      <c r="I849" s="17" t="str">
        <f aca="false">IF($B849="","",C849*IFERROR(INDEX(Products!$E$2:$E$201,MATCH($B849,Products!$A$2:$A$201,0)),0))</f>
        <v/>
      </c>
      <c r="J849" s="17" t="str">
        <f aca="false">IF($B849="","",H849-I849)</f>
        <v/>
      </c>
      <c r="K849" s="16" t="str">
        <f aca="false">IF($A849="","",DATE(YEAR($A849),MONTH($A849),1))</f>
        <v/>
      </c>
    </row>
    <row r="850" customFormat="false" ht="15" hidden="false" customHeight="false" outlineLevel="0" collapsed="false">
      <c r="A850" s="25"/>
      <c r="B850" s="19"/>
      <c r="C850" s="19"/>
      <c r="D850" s="26"/>
      <c r="E850" s="27" t="str">
        <f aca="false">IF($B850="","",IFERROR(INDEX(Products!$B$2:$B$201,MATCH($B850,Products!$A$2:$A$201,0)),"Unknown code"))</f>
        <v/>
      </c>
      <c r="F850" s="22" t="str">
        <f aca="false">IF($B850="","",IFERROR(INDEX(Products!$C$2:$C$201,MATCH($B850,Products!$A$2:$A$201,0)),""))</f>
        <v/>
      </c>
      <c r="G850" s="17" t="str">
        <f aca="false">IF($B850="","",IFERROR(INDEX(Products!$D$2:$D$201,MATCH($B850,Products!$A$2:$A$201,0)),0))</f>
        <v/>
      </c>
      <c r="H850" s="17" t="str">
        <f aca="false">IF($B850="","",C850*G850*(1-D850))</f>
        <v/>
      </c>
      <c r="I850" s="17" t="str">
        <f aca="false">IF($B850="","",C850*IFERROR(INDEX(Products!$E$2:$E$201,MATCH($B850,Products!$A$2:$A$201,0)),0))</f>
        <v/>
      </c>
      <c r="J850" s="17" t="str">
        <f aca="false">IF($B850="","",H850-I850)</f>
        <v/>
      </c>
      <c r="K850" s="16" t="str">
        <f aca="false">IF($A850="","",DATE(YEAR($A850),MONTH($A850),1))</f>
        <v/>
      </c>
    </row>
    <row r="851" customFormat="false" ht="15" hidden="false" customHeight="false" outlineLevel="0" collapsed="false">
      <c r="A851" s="25"/>
      <c r="B851" s="19"/>
      <c r="C851" s="19"/>
      <c r="D851" s="26"/>
      <c r="E851" s="27" t="str">
        <f aca="false">IF($B851="","",IFERROR(INDEX(Products!$B$2:$B$201,MATCH($B851,Products!$A$2:$A$201,0)),"Unknown code"))</f>
        <v/>
      </c>
      <c r="F851" s="22" t="str">
        <f aca="false">IF($B851="","",IFERROR(INDEX(Products!$C$2:$C$201,MATCH($B851,Products!$A$2:$A$201,0)),""))</f>
        <v/>
      </c>
      <c r="G851" s="17" t="str">
        <f aca="false">IF($B851="","",IFERROR(INDEX(Products!$D$2:$D$201,MATCH($B851,Products!$A$2:$A$201,0)),0))</f>
        <v/>
      </c>
      <c r="H851" s="17" t="str">
        <f aca="false">IF($B851="","",C851*G851*(1-D851))</f>
        <v/>
      </c>
      <c r="I851" s="17" t="str">
        <f aca="false">IF($B851="","",C851*IFERROR(INDEX(Products!$E$2:$E$201,MATCH($B851,Products!$A$2:$A$201,0)),0))</f>
        <v/>
      </c>
      <c r="J851" s="17" t="str">
        <f aca="false">IF($B851="","",H851-I851)</f>
        <v/>
      </c>
      <c r="K851" s="16" t="str">
        <f aca="false">IF($A851="","",DATE(YEAR($A851),MONTH($A851),1))</f>
        <v/>
      </c>
    </row>
    <row r="852" customFormat="false" ht="15" hidden="false" customHeight="false" outlineLevel="0" collapsed="false">
      <c r="A852" s="25"/>
      <c r="B852" s="19"/>
      <c r="C852" s="19"/>
      <c r="D852" s="26"/>
      <c r="E852" s="27" t="str">
        <f aca="false">IF($B852="","",IFERROR(INDEX(Products!$B$2:$B$201,MATCH($B852,Products!$A$2:$A$201,0)),"Unknown code"))</f>
        <v/>
      </c>
      <c r="F852" s="22" t="str">
        <f aca="false">IF($B852="","",IFERROR(INDEX(Products!$C$2:$C$201,MATCH($B852,Products!$A$2:$A$201,0)),""))</f>
        <v/>
      </c>
      <c r="G852" s="17" t="str">
        <f aca="false">IF($B852="","",IFERROR(INDEX(Products!$D$2:$D$201,MATCH($B852,Products!$A$2:$A$201,0)),0))</f>
        <v/>
      </c>
      <c r="H852" s="17" t="str">
        <f aca="false">IF($B852="","",C852*G852*(1-D852))</f>
        <v/>
      </c>
      <c r="I852" s="17" t="str">
        <f aca="false">IF($B852="","",C852*IFERROR(INDEX(Products!$E$2:$E$201,MATCH($B852,Products!$A$2:$A$201,0)),0))</f>
        <v/>
      </c>
      <c r="J852" s="17" t="str">
        <f aca="false">IF($B852="","",H852-I852)</f>
        <v/>
      </c>
      <c r="K852" s="16" t="str">
        <f aca="false">IF($A852="","",DATE(YEAR($A852),MONTH($A852),1))</f>
        <v/>
      </c>
    </row>
    <row r="853" customFormat="false" ht="15" hidden="false" customHeight="false" outlineLevel="0" collapsed="false">
      <c r="A853" s="25"/>
      <c r="B853" s="19"/>
      <c r="C853" s="19"/>
      <c r="D853" s="26"/>
      <c r="E853" s="27" t="str">
        <f aca="false">IF($B853="","",IFERROR(INDEX(Products!$B$2:$B$201,MATCH($B853,Products!$A$2:$A$201,0)),"Unknown code"))</f>
        <v/>
      </c>
      <c r="F853" s="22" t="str">
        <f aca="false">IF($B853="","",IFERROR(INDEX(Products!$C$2:$C$201,MATCH($B853,Products!$A$2:$A$201,0)),""))</f>
        <v/>
      </c>
      <c r="G853" s="17" t="str">
        <f aca="false">IF($B853="","",IFERROR(INDEX(Products!$D$2:$D$201,MATCH($B853,Products!$A$2:$A$201,0)),0))</f>
        <v/>
      </c>
      <c r="H853" s="17" t="str">
        <f aca="false">IF($B853="","",C853*G853*(1-D853))</f>
        <v/>
      </c>
      <c r="I853" s="17" t="str">
        <f aca="false">IF($B853="","",C853*IFERROR(INDEX(Products!$E$2:$E$201,MATCH($B853,Products!$A$2:$A$201,0)),0))</f>
        <v/>
      </c>
      <c r="J853" s="17" t="str">
        <f aca="false">IF($B853="","",H853-I853)</f>
        <v/>
      </c>
      <c r="K853" s="16" t="str">
        <f aca="false">IF($A853="","",DATE(YEAR($A853),MONTH($A853),1))</f>
        <v/>
      </c>
    </row>
    <row r="854" customFormat="false" ht="15" hidden="false" customHeight="false" outlineLevel="0" collapsed="false">
      <c r="A854" s="25"/>
      <c r="B854" s="19"/>
      <c r="C854" s="19"/>
      <c r="D854" s="26"/>
      <c r="E854" s="27" t="str">
        <f aca="false">IF($B854="","",IFERROR(INDEX(Products!$B$2:$B$201,MATCH($B854,Products!$A$2:$A$201,0)),"Unknown code"))</f>
        <v/>
      </c>
      <c r="F854" s="22" t="str">
        <f aca="false">IF($B854="","",IFERROR(INDEX(Products!$C$2:$C$201,MATCH($B854,Products!$A$2:$A$201,0)),""))</f>
        <v/>
      </c>
      <c r="G854" s="17" t="str">
        <f aca="false">IF($B854="","",IFERROR(INDEX(Products!$D$2:$D$201,MATCH($B854,Products!$A$2:$A$201,0)),0))</f>
        <v/>
      </c>
      <c r="H854" s="17" t="str">
        <f aca="false">IF($B854="","",C854*G854*(1-D854))</f>
        <v/>
      </c>
      <c r="I854" s="17" t="str">
        <f aca="false">IF($B854="","",C854*IFERROR(INDEX(Products!$E$2:$E$201,MATCH($B854,Products!$A$2:$A$201,0)),0))</f>
        <v/>
      </c>
      <c r="J854" s="17" t="str">
        <f aca="false">IF($B854="","",H854-I854)</f>
        <v/>
      </c>
      <c r="K854" s="16" t="str">
        <f aca="false">IF($A854="","",DATE(YEAR($A854),MONTH($A854),1))</f>
        <v/>
      </c>
    </row>
    <row r="855" customFormat="false" ht="15" hidden="false" customHeight="false" outlineLevel="0" collapsed="false">
      <c r="A855" s="25"/>
      <c r="B855" s="19"/>
      <c r="C855" s="19"/>
      <c r="D855" s="26"/>
      <c r="E855" s="27" t="str">
        <f aca="false">IF($B855="","",IFERROR(INDEX(Products!$B$2:$B$201,MATCH($B855,Products!$A$2:$A$201,0)),"Unknown code"))</f>
        <v/>
      </c>
      <c r="F855" s="22" t="str">
        <f aca="false">IF($B855="","",IFERROR(INDEX(Products!$C$2:$C$201,MATCH($B855,Products!$A$2:$A$201,0)),""))</f>
        <v/>
      </c>
      <c r="G855" s="17" t="str">
        <f aca="false">IF($B855="","",IFERROR(INDEX(Products!$D$2:$D$201,MATCH($B855,Products!$A$2:$A$201,0)),0))</f>
        <v/>
      </c>
      <c r="H855" s="17" t="str">
        <f aca="false">IF($B855="","",C855*G855*(1-D855))</f>
        <v/>
      </c>
      <c r="I855" s="17" t="str">
        <f aca="false">IF($B855="","",C855*IFERROR(INDEX(Products!$E$2:$E$201,MATCH($B855,Products!$A$2:$A$201,0)),0))</f>
        <v/>
      </c>
      <c r="J855" s="17" t="str">
        <f aca="false">IF($B855="","",H855-I855)</f>
        <v/>
      </c>
      <c r="K855" s="16" t="str">
        <f aca="false">IF($A855="","",DATE(YEAR($A855),MONTH($A855),1))</f>
        <v/>
      </c>
    </row>
    <row r="856" customFormat="false" ht="15" hidden="false" customHeight="false" outlineLevel="0" collapsed="false">
      <c r="A856" s="25"/>
      <c r="B856" s="19"/>
      <c r="C856" s="19"/>
      <c r="D856" s="26"/>
      <c r="E856" s="27" t="str">
        <f aca="false">IF($B856="","",IFERROR(INDEX(Products!$B$2:$B$201,MATCH($B856,Products!$A$2:$A$201,0)),"Unknown code"))</f>
        <v/>
      </c>
      <c r="F856" s="22" t="str">
        <f aca="false">IF($B856="","",IFERROR(INDEX(Products!$C$2:$C$201,MATCH($B856,Products!$A$2:$A$201,0)),""))</f>
        <v/>
      </c>
      <c r="G856" s="17" t="str">
        <f aca="false">IF($B856="","",IFERROR(INDEX(Products!$D$2:$D$201,MATCH($B856,Products!$A$2:$A$201,0)),0))</f>
        <v/>
      </c>
      <c r="H856" s="17" t="str">
        <f aca="false">IF($B856="","",C856*G856*(1-D856))</f>
        <v/>
      </c>
      <c r="I856" s="17" t="str">
        <f aca="false">IF($B856="","",C856*IFERROR(INDEX(Products!$E$2:$E$201,MATCH($B856,Products!$A$2:$A$201,0)),0))</f>
        <v/>
      </c>
      <c r="J856" s="17" t="str">
        <f aca="false">IF($B856="","",H856-I856)</f>
        <v/>
      </c>
      <c r="K856" s="16" t="str">
        <f aca="false">IF($A856="","",DATE(YEAR($A856),MONTH($A856),1))</f>
        <v/>
      </c>
    </row>
    <row r="857" customFormat="false" ht="15" hidden="false" customHeight="false" outlineLevel="0" collapsed="false">
      <c r="A857" s="25"/>
      <c r="B857" s="19"/>
      <c r="C857" s="19"/>
      <c r="D857" s="26"/>
      <c r="E857" s="27" t="str">
        <f aca="false">IF($B857="","",IFERROR(INDEX(Products!$B$2:$B$201,MATCH($B857,Products!$A$2:$A$201,0)),"Unknown code"))</f>
        <v/>
      </c>
      <c r="F857" s="22" t="str">
        <f aca="false">IF($B857="","",IFERROR(INDEX(Products!$C$2:$C$201,MATCH($B857,Products!$A$2:$A$201,0)),""))</f>
        <v/>
      </c>
      <c r="G857" s="17" t="str">
        <f aca="false">IF($B857="","",IFERROR(INDEX(Products!$D$2:$D$201,MATCH($B857,Products!$A$2:$A$201,0)),0))</f>
        <v/>
      </c>
      <c r="H857" s="17" t="str">
        <f aca="false">IF($B857="","",C857*G857*(1-D857))</f>
        <v/>
      </c>
      <c r="I857" s="17" t="str">
        <f aca="false">IF($B857="","",C857*IFERROR(INDEX(Products!$E$2:$E$201,MATCH($B857,Products!$A$2:$A$201,0)),0))</f>
        <v/>
      </c>
      <c r="J857" s="17" t="str">
        <f aca="false">IF($B857="","",H857-I857)</f>
        <v/>
      </c>
      <c r="K857" s="16" t="str">
        <f aca="false">IF($A857="","",DATE(YEAR($A857),MONTH($A857),1))</f>
        <v/>
      </c>
    </row>
    <row r="858" customFormat="false" ht="15" hidden="false" customHeight="false" outlineLevel="0" collapsed="false">
      <c r="A858" s="25"/>
      <c r="B858" s="19"/>
      <c r="C858" s="19"/>
      <c r="D858" s="26"/>
      <c r="E858" s="27" t="str">
        <f aca="false">IF($B858="","",IFERROR(INDEX(Products!$B$2:$B$201,MATCH($B858,Products!$A$2:$A$201,0)),"Unknown code"))</f>
        <v/>
      </c>
      <c r="F858" s="22" t="str">
        <f aca="false">IF($B858="","",IFERROR(INDEX(Products!$C$2:$C$201,MATCH($B858,Products!$A$2:$A$201,0)),""))</f>
        <v/>
      </c>
      <c r="G858" s="17" t="str">
        <f aca="false">IF($B858="","",IFERROR(INDEX(Products!$D$2:$D$201,MATCH($B858,Products!$A$2:$A$201,0)),0))</f>
        <v/>
      </c>
      <c r="H858" s="17" t="str">
        <f aca="false">IF($B858="","",C858*G858*(1-D858))</f>
        <v/>
      </c>
      <c r="I858" s="17" t="str">
        <f aca="false">IF($B858="","",C858*IFERROR(INDEX(Products!$E$2:$E$201,MATCH($B858,Products!$A$2:$A$201,0)),0))</f>
        <v/>
      </c>
      <c r="J858" s="17" t="str">
        <f aca="false">IF($B858="","",H858-I858)</f>
        <v/>
      </c>
      <c r="K858" s="16" t="str">
        <f aca="false">IF($A858="","",DATE(YEAR($A858),MONTH($A858),1))</f>
        <v/>
      </c>
    </row>
    <row r="859" customFormat="false" ht="15" hidden="false" customHeight="false" outlineLevel="0" collapsed="false">
      <c r="A859" s="25"/>
      <c r="B859" s="19"/>
      <c r="C859" s="19"/>
      <c r="D859" s="26"/>
      <c r="E859" s="27" t="str">
        <f aca="false">IF($B859="","",IFERROR(INDEX(Products!$B$2:$B$201,MATCH($B859,Products!$A$2:$A$201,0)),"Unknown code"))</f>
        <v/>
      </c>
      <c r="F859" s="22" t="str">
        <f aca="false">IF($B859="","",IFERROR(INDEX(Products!$C$2:$C$201,MATCH($B859,Products!$A$2:$A$201,0)),""))</f>
        <v/>
      </c>
      <c r="G859" s="17" t="str">
        <f aca="false">IF($B859="","",IFERROR(INDEX(Products!$D$2:$D$201,MATCH($B859,Products!$A$2:$A$201,0)),0))</f>
        <v/>
      </c>
      <c r="H859" s="17" t="str">
        <f aca="false">IF($B859="","",C859*G859*(1-D859))</f>
        <v/>
      </c>
      <c r="I859" s="17" t="str">
        <f aca="false">IF($B859="","",C859*IFERROR(INDEX(Products!$E$2:$E$201,MATCH($B859,Products!$A$2:$A$201,0)),0))</f>
        <v/>
      </c>
      <c r="J859" s="17" t="str">
        <f aca="false">IF($B859="","",H859-I859)</f>
        <v/>
      </c>
      <c r="K859" s="16" t="str">
        <f aca="false">IF($A859="","",DATE(YEAR($A859),MONTH($A859),1))</f>
        <v/>
      </c>
    </row>
    <row r="860" customFormat="false" ht="15" hidden="false" customHeight="false" outlineLevel="0" collapsed="false">
      <c r="A860" s="25"/>
      <c r="B860" s="19"/>
      <c r="C860" s="19"/>
      <c r="D860" s="26"/>
      <c r="E860" s="27" t="str">
        <f aca="false">IF($B860="","",IFERROR(INDEX(Products!$B$2:$B$201,MATCH($B860,Products!$A$2:$A$201,0)),"Unknown code"))</f>
        <v/>
      </c>
      <c r="F860" s="22" t="str">
        <f aca="false">IF($B860="","",IFERROR(INDEX(Products!$C$2:$C$201,MATCH($B860,Products!$A$2:$A$201,0)),""))</f>
        <v/>
      </c>
      <c r="G860" s="17" t="str">
        <f aca="false">IF($B860="","",IFERROR(INDEX(Products!$D$2:$D$201,MATCH($B860,Products!$A$2:$A$201,0)),0))</f>
        <v/>
      </c>
      <c r="H860" s="17" t="str">
        <f aca="false">IF($B860="","",C860*G860*(1-D860))</f>
        <v/>
      </c>
      <c r="I860" s="17" t="str">
        <f aca="false">IF($B860="","",C860*IFERROR(INDEX(Products!$E$2:$E$201,MATCH($B860,Products!$A$2:$A$201,0)),0))</f>
        <v/>
      </c>
      <c r="J860" s="17" t="str">
        <f aca="false">IF($B860="","",H860-I860)</f>
        <v/>
      </c>
      <c r="K860" s="16" t="str">
        <f aca="false">IF($A860="","",DATE(YEAR($A860),MONTH($A860),1))</f>
        <v/>
      </c>
    </row>
    <row r="861" customFormat="false" ht="15" hidden="false" customHeight="false" outlineLevel="0" collapsed="false">
      <c r="A861" s="25"/>
      <c r="B861" s="19"/>
      <c r="C861" s="19"/>
      <c r="D861" s="26"/>
      <c r="E861" s="27" t="str">
        <f aca="false">IF($B861="","",IFERROR(INDEX(Products!$B$2:$B$201,MATCH($B861,Products!$A$2:$A$201,0)),"Unknown code"))</f>
        <v/>
      </c>
      <c r="F861" s="22" t="str">
        <f aca="false">IF($B861="","",IFERROR(INDEX(Products!$C$2:$C$201,MATCH($B861,Products!$A$2:$A$201,0)),""))</f>
        <v/>
      </c>
      <c r="G861" s="17" t="str">
        <f aca="false">IF($B861="","",IFERROR(INDEX(Products!$D$2:$D$201,MATCH($B861,Products!$A$2:$A$201,0)),0))</f>
        <v/>
      </c>
      <c r="H861" s="17" t="str">
        <f aca="false">IF($B861="","",C861*G861*(1-D861))</f>
        <v/>
      </c>
      <c r="I861" s="17" t="str">
        <f aca="false">IF($B861="","",C861*IFERROR(INDEX(Products!$E$2:$E$201,MATCH($B861,Products!$A$2:$A$201,0)),0))</f>
        <v/>
      </c>
      <c r="J861" s="17" t="str">
        <f aca="false">IF($B861="","",H861-I861)</f>
        <v/>
      </c>
      <c r="K861" s="16" t="str">
        <f aca="false">IF($A861="","",DATE(YEAR($A861),MONTH($A861),1))</f>
        <v/>
      </c>
    </row>
    <row r="862" customFormat="false" ht="15" hidden="false" customHeight="false" outlineLevel="0" collapsed="false">
      <c r="A862" s="25"/>
      <c r="B862" s="19"/>
      <c r="C862" s="19"/>
      <c r="D862" s="26"/>
      <c r="E862" s="27" t="str">
        <f aca="false">IF($B862="","",IFERROR(INDEX(Products!$B$2:$B$201,MATCH($B862,Products!$A$2:$A$201,0)),"Unknown code"))</f>
        <v/>
      </c>
      <c r="F862" s="22" t="str">
        <f aca="false">IF($B862="","",IFERROR(INDEX(Products!$C$2:$C$201,MATCH($B862,Products!$A$2:$A$201,0)),""))</f>
        <v/>
      </c>
      <c r="G862" s="17" t="str">
        <f aca="false">IF($B862="","",IFERROR(INDEX(Products!$D$2:$D$201,MATCH($B862,Products!$A$2:$A$201,0)),0))</f>
        <v/>
      </c>
      <c r="H862" s="17" t="str">
        <f aca="false">IF($B862="","",C862*G862*(1-D862))</f>
        <v/>
      </c>
      <c r="I862" s="17" t="str">
        <f aca="false">IF($B862="","",C862*IFERROR(INDEX(Products!$E$2:$E$201,MATCH($B862,Products!$A$2:$A$201,0)),0))</f>
        <v/>
      </c>
      <c r="J862" s="17" t="str">
        <f aca="false">IF($B862="","",H862-I862)</f>
        <v/>
      </c>
      <c r="K862" s="16" t="str">
        <f aca="false">IF($A862="","",DATE(YEAR($A862),MONTH($A862),1))</f>
        <v/>
      </c>
    </row>
    <row r="863" customFormat="false" ht="15" hidden="false" customHeight="false" outlineLevel="0" collapsed="false">
      <c r="A863" s="25"/>
      <c r="B863" s="19"/>
      <c r="C863" s="19"/>
      <c r="D863" s="26"/>
      <c r="E863" s="27" t="str">
        <f aca="false">IF($B863="","",IFERROR(INDEX(Products!$B$2:$B$201,MATCH($B863,Products!$A$2:$A$201,0)),"Unknown code"))</f>
        <v/>
      </c>
      <c r="F863" s="22" t="str">
        <f aca="false">IF($B863="","",IFERROR(INDEX(Products!$C$2:$C$201,MATCH($B863,Products!$A$2:$A$201,0)),""))</f>
        <v/>
      </c>
      <c r="G863" s="17" t="str">
        <f aca="false">IF($B863="","",IFERROR(INDEX(Products!$D$2:$D$201,MATCH($B863,Products!$A$2:$A$201,0)),0))</f>
        <v/>
      </c>
      <c r="H863" s="17" t="str">
        <f aca="false">IF($B863="","",C863*G863*(1-D863))</f>
        <v/>
      </c>
      <c r="I863" s="17" t="str">
        <f aca="false">IF($B863="","",C863*IFERROR(INDEX(Products!$E$2:$E$201,MATCH($B863,Products!$A$2:$A$201,0)),0))</f>
        <v/>
      </c>
      <c r="J863" s="17" t="str">
        <f aca="false">IF($B863="","",H863-I863)</f>
        <v/>
      </c>
      <c r="K863" s="16" t="str">
        <f aca="false">IF($A863="","",DATE(YEAR($A863),MONTH($A863),1))</f>
        <v/>
      </c>
    </row>
    <row r="864" customFormat="false" ht="15" hidden="false" customHeight="false" outlineLevel="0" collapsed="false">
      <c r="A864" s="25"/>
      <c r="B864" s="19"/>
      <c r="C864" s="19"/>
      <c r="D864" s="26"/>
      <c r="E864" s="27" t="str">
        <f aca="false">IF($B864="","",IFERROR(INDEX(Products!$B$2:$B$201,MATCH($B864,Products!$A$2:$A$201,0)),"Unknown code"))</f>
        <v/>
      </c>
      <c r="F864" s="22" t="str">
        <f aca="false">IF($B864="","",IFERROR(INDEX(Products!$C$2:$C$201,MATCH($B864,Products!$A$2:$A$201,0)),""))</f>
        <v/>
      </c>
      <c r="G864" s="17" t="str">
        <f aca="false">IF($B864="","",IFERROR(INDEX(Products!$D$2:$D$201,MATCH($B864,Products!$A$2:$A$201,0)),0))</f>
        <v/>
      </c>
      <c r="H864" s="17" t="str">
        <f aca="false">IF($B864="","",C864*G864*(1-D864))</f>
        <v/>
      </c>
      <c r="I864" s="17" t="str">
        <f aca="false">IF($B864="","",C864*IFERROR(INDEX(Products!$E$2:$E$201,MATCH($B864,Products!$A$2:$A$201,0)),0))</f>
        <v/>
      </c>
      <c r="J864" s="17" t="str">
        <f aca="false">IF($B864="","",H864-I864)</f>
        <v/>
      </c>
      <c r="K864" s="16" t="str">
        <f aca="false">IF($A864="","",DATE(YEAR($A864),MONTH($A864),1))</f>
        <v/>
      </c>
    </row>
    <row r="865" customFormat="false" ht="15" hidden="false" customHeight="false" outlineLevel="0" collapsed="false">
      <c r="A865" s="25"/>
      <c r="B865" s="19"/>
      <c r="C865" s="19"/>
      <c r="D865" s="26"/>
      <c r="E865" s="27" t="str">
        <f aca="false">IF($B865="","",IFERROR(INDEX(Products!$B$2:$B$201,MATCH($B865,Products!$A$2:$A$201,0)),"Unknown code"))</f>
        <v/>
      </c>
      <c r="F865" s="22" t="str">
        <f aca="false">IF($B865="","",IFERROR(INDEX(Products!$C$2:$C$201,MATCH($B865,Products!$A$2:$A$201,0)),""))</f>
        <v/>
      </c>
      <c r="G865" s="17" t="str">
        <f aca="false">IF($B865="","",IFERROR(INDEX(Products!$D$2:$D$201,MATCH($B865,Products!$A$2:$A$201,0)),0))</f>
        <v/>
      </c>
      <c r="H865" s="17" t="str">
        <f aca="false">IF($B865="","",C865*G865*(1-D865))</f>
        <v/>
      </c>
      <c r="I865" s="17" t="str">
        <f aca="false">IF($B865="","",C865*IFERROR(INDEX(Products!$E$2:$E$201,MATCH($B865,Products!$A$2:$A$201,0)),0))</f>
        <v/>
      </c>
      <c r="J865" s="17" t="str">
        <f aca="false">IF($B865="","",H865-I865)</f>
        <v/>
      </c>
      <c r="K865" s="16" t="str">
        <f aca="false">IF($A865="","",DATE(YEAR($A865),MONTH($A865),1))</f>
        <v/>
      </c>
    </row>
    <row r="866" customFormat="false" ht="15" hidden="false" customHeight="false" outlineLevel="0" collapsed="false">
      <c r="A866" s="25"/>
      <c r="B866" s="19"/>
      <c r="C866" s="19"/>
      <c r="D866" s="26"/>
      <c r="E866" s="27" t="str">
        <f aca="false">IF($B866="","",IFERROR(INDEX(Products!$B$2:$B$201,MATCH($B866,Products!$A$2:$A$201,0)),"Unknown code"))</f>
        <v/>
      </c>
      <c r="F866" s="22" t="str">
        <f aca="false">IF($B866="","",IFERROR(INDEX(Products!$C$2:$C$201,MATCH($B866,Products!$A$2:$A$201,0)),""))</f>
        <v/>
      </c>
      <c r="G866" s="17" t="str">
        <f aca="false">IF($B866="","",IFERROR(INDEX(Products!$D$2:$D$201,MATCH($B866,Products!$A$2:$A$201,0)),0))</f>
        <v/>
      </c>
      <c r="H866" s="17" t="str">
        <f aca="false">IF($B866="","",C866*G866*(1-D866))</f>
        <v/>
      </c>
      <c r="I866" s="17" t="str">
        <f aca="false">IF($B866="","",C866*IFERROR(INDEX(Products!$E$2:$E$201,MATCH($B866,Products!$A$2:$A$201,0)),0))</f>
        <v/>
      </c>
      <c r="J866" s="17" t="str">
        <f aca="false">IF($B866="","",H866-I866)</f>
        <v/>
      </c>
      <c r="K866" s="16" t="str">
        <f aca="false">IF($A866="","",DATE(YEAR($A866),MONTH($A866),1))</f>
        <v/>
      </c>
    </row>
    <row r="867" customFormat="false" ht="15" hidden="false" customHeight="false" outlineLevel="0" collapsed="false">
      <c r="A867" s="25"/>
      <c r="B867" s="19"/>
      <c r="C867" s="19"/>
      <c r="D867" s="26"/>
      <c r="E867" s="27" t="str">
        <f aca="false">IF($B867="","",IFERROR(INDEX(Products!$B$2:$B$201,MATCH($B867,Products!$A$2:$A$201,0)),"Unknown code"))</f>
        <v/>
      </c>
      <c r="F867" s="22" t="str">
        <f aca="false">IF($B867="","",IFERROR(INDEX(Products!$C$2:$C$201,MATCH($B867,Products!$A$2:$A$201,0)),""))</f>
        <v/>
      </c>
      <c r="G867" s="17" t="str">
        <f aca="false">IF($B867="","",IFERROR(INDEX(Products!$D$2:$D$201,MATCH($B867,Products!$A$2:$A$201,0)),0))</f>
        <v/>
      </c>
      <c r="H867" s="17" t="str">
        <f aca="false">IF($B867="","",C867*G867*(1-D867))</f>
        <v/>
      </c>
      <c r="I867" s="17" t="str">
        <f aca="false">IF($B867="","",C867*IFERROR(INDEX(Products!$E$2:$E$201,MATCH($B867,Products!$A$2:$A$201,0)),0))</f>
        <v/>
      </c>
      <c r="J867" s="17" t="str">
        <f aca="false">IF($B867="","",H867-I867)</f>
        <v/>
      </c>
      <c r="K867" s="16" t="str">
        <f aca="false">IF($A867="","",DATE(YEAR($A867),MONTH($A867),1))</f>
        <v/>
      </c>
    </row>
    <row r="868" customFormat="false" ht="15" hidden="false" customHeight="false" outlineLevel="0" collapsed="false">
      <c r="A868" s="25"/>
      <c r="B868" s="19"/>
      <c r="C868" s="19"/>
      <c r="D868" s="26"/>
      <c r="E868" s="27" t="str">
        <f aca="false">IF($B868="","",IFERROR(INDEX(Products!$B$2:$B$201,MATCH($B868,Products!$A$2:$A$201,0)),"Unknown code"))</f>
        <v/>
      </c>
      <c r="F868" s="22" t="str">
        <f aca="false">IF($B868="","",IFERROR(INDEX(Products!$C$2:$C$201,MATCH($B868,Products!$A$2:$A$201,0)),""))</f>
        <v/>
      </c>
      <c r="G868" s="17" t="str">
        <f aca="false">IF($B868="","",IFERROR(INDEX(Products!$D$2:$D$201,MATCH($B868,Products!$A$2:$A$201,0)),0))</f>
        <v/>
      </c>
      <c r="H868" s="17" t="str">
        <f aca="false">IF($B868="","",C868*G868*(1-D868))</f>
        <v/>
      </c>
      <c r="I868" s="17" t="str">
        <f aca="false">IF($B868="","",C868*IFERROR(INDEX(Products!$E$2:$E$201,MATCH($B868,Products!$A$2:$A$201,0)),0))</f>
        <v/>
      </c>
      <c r="J868" s="17" t="str">
        <f aca="false">IF($B868="","",H868-I868)</f>
        <v/>
      </c>
      <c r="K868" s="16" t="str">
        <f aca="false">IF($A868="","",DATE(YEAR($A868),MONTH($A868),1))</f>
        <v/>
      </c>
    </row>
    <row r="869" customFormat="false" ht="15" hidden="false" customHeight="false" outlineLevel="0" collapsed="false">
      <c r="A869" s="25"/>
      <c r="B869" s="19"/>
      <c r="C869" s="19"/>
      <c r="D869" s="26"/>
      <c r="E869" s="27" t="str">
        <f aca="false">IF($B869="","",IFERROR(INDEX(Products!$B$2:$B$201,MATCH($B869,Products!$A$2:$A$201,0)),"Unknown code"))</f>
        <v/>
      </c>
      <c r="F869" s="22" t="str">
        <f aca="false">IF($B869="","",IFERROR(INDEX(Products!$C$2:$C$201,MATCH($B869,Products!$A$2:$A$201,0)),""))</f>
        <v/>
      </c>
      <c r="G869" s="17" t="str">
        <f aca="false">IF($B869="","",IFERROR(INDEX(Products!$D$2:$D$201,MATCH($B869,Products!$A$2:$A$201,0)),0))</f>
        <v/>
      </c>
      <c r="H869" s="17" t="str">
        <f aca="false">IF($B869="","",C869*G869*(1-D869))</f>
        <v/>
      </c>
      <c r="I869" s="17" t="str">
        <f aca="false">IF($B869="","",C869*IFERROR(INDEX(Products!$E$2:$E$201,MATCH($B869,Products!$A$2:$A$201,0)),0))</f>
        <v/>
      </c>
      <c r="J869" s="17" t="str">
        <f aca="false">IF($B869="","",H869-I869)</f>
        <v/>
      </c>
      <c r="K869" s="16" t="str">
        <f aca="false">IF($A869="","",DATE(YEAR($A869),MONTH($A869),1))</f>
        <v/>
      </c>
    </row>
    <row r="870" customFormat="false" ht="15" hidden="false" customHeight="false" outlineLevel="0" collapsed="false">
      <c r="A870" s="25"/>
      <c r="B870" s="19"/>
      <c r="C870" s="19"/>
      <c r="D870" s="26"/>
      <c r="E870" s="27" t="str">
        <f aca="false">IF($B870="","",IFERROR(INDEX(Products!$B$2:$B$201,MATCH($B870,Products!$A$2:$A$201,0)),"Unknown code"))</f>
        <v/>
      </c>
      <c r="F870" s="22" t="str">
        <f aca="false">IF($B870="","",IFERROR(INDEX(Products!$C$2:$C$201,MATCH($B870,Products!$A$2:$A$201,0)),""))</f>
        <v/>
      </c>
      <c r="G870" s="17" t="str">
        <f aca="false">IF($B870="","",IFERROR(INDEX(Products!$D$2:$D$201,MATCH($B870,Products!$A$2:$A$201,0)),0))</f>
        <v/>
      </c>
      <c r="H870" s="17" t="str">
        <f aca="false">IF($B870="","",C870*G870*(1-D870))</f>
        <v/>
      </c>
      <c r="I870" s="17" t="str">
        <f aca="false">IF($B870="","",C870*IFERROR(INDEX(Products!$E$2:$E$201,MATCH($B870,Products!$A$2:$A$201,0)),0))</f>
        <v/>
      </c>
      <c r="J870" s="17" t="str">
        <f aca="false">IF($B870="","",H870-I870)</f>
        <v/>
      </c>
      <c r="K870" s="16" t="str">
        <f aca="false">IF($A870="","",DATE(YEAR($A870),MONTH($A870),1))</f>
        <v/>
      </c>
    </row>
    <row r="871" customFormat="false" ht="15" hidden="false" customHeight="false" outlineLevel="0" collapsed="false">
      <c r="A871" s="25"/>
      <c r="B871" s="19"/>
      <c r="C871" s="19"/>
      <c r="D871" s="26"/>
      <c r="E871" s="27" t="str">
        <f aca="false">IF($B871="","",IFERROR(INDEX(Products!$B$2:$B$201,MATCH($B871,Products!$A$2:$A$201,0)),"Unknown code"))</f>
        <v/>
      </c>
      <c r="F871" s="22" t="str">
        <f aca="false">IF($B871="","",IFERROR(INDEX(Products!$C$2:$C$201,MATCH($B871,Products!$A$2:$A$201,0)),""))</f>
        <v/>
      </c>
      <c r="G871" s="17" t="str">
        <f aca="false">IF($B871="","",IFERROR(INDEX(Products!$D$2:$D$201,MATCH($B871,Products!$A$2:$A$201,0)),0))</f>
        <v/>
      </c>
      <c r="H871" s="17" t="str">
        <f aca="false">IF($B871="","",C871*G871*(1-D871))</f>
        <v/>
      </c>
      <c r="I871" s="17" t="str">
        <f aca="false">IF($B871="","",C871*IFERROR(INDEX(Products!$E$2:$E$201,MATCH($B871,Products!$A$2:$A$201,0)),0))</f>
        <v/>
      </c>
      <c r="J871" s="17" t="str">
        <f aca="false">IF($B871="","",H871-I871)</f>
        <v/>
      </c>
      <c r="K871" s="16" t="str">
        <f aca="false">IF($A871="","",DATE(YEAR($A871),MONTH($A871),1))</f>
        <v/>
      </c>
    </row>
    <row r="872" customFormat="false" ht="15" hidden="false" customHeight="false" outlineLevel="0" collapsed="false">
      <c r="A872" s="25"/>
      <c r="B872" s="19"/>
      <c r="C872" s="19"/>
      <c r="D872" s="26"/>
      <c r="E872" s="27" t="str">
        <f aca="false">IF($B872="","",IFERROR(INDEX(Products!$B$2:$B$201,MATCH($B872,Products!$A$2:$A$201,0)),"Unknown code"))</f>
        <v/>
      </c>
      <c r="F872" s="22" t="str">
        <f aca="false">IF($B872="","",IFERROR(INDEX(Products!$C$2:$C$201,MATCH($B872,Products!$A$2:$A$201,0)),""))</f>
        <v/>
      </c>
      <c r="G872" s="17" t="str">
        <f aca="false">IF($B872="","",IFERROR(INDEX(Products!$D$2:$D$201,MATCH($B872,Products!$A$2:$A$201,0)),0))</f>
        <v/>
      </c>
      <c r="H872" s="17" t="str">
        <f aca="false">IF($B872="","",C872*G872*(1-D872))</f>
        <v/>
      </c>
      <c r="I872" s="17" t="str">
        <f aca="false">IF($B872="","",C872*IFERROR(INDEX(Products!$E$2:$E$201,MATCH($B872,Products!$A$2:$A$201,0)),0))</f>
        <v/>
      </c>
      <c r="J872" s="17" t="str">
        <f aca="false">IF($B872="","",H872-I872)</f>
        <v/>
      </c>
      <c r="K872" s="16" t="str">
        <f aca="false">IF($A872="","",DATE(YEAR($A872),MONTH($A872),1))</f>
        <v/>
      </c>
    </row>
    <row r="873" customFormat="false" ht="15" hidden="false" customHeight="false" outlineLevel="0" collapsed="false">
      <c r="A873" s="25"/>
      <c r="B873" s="19"/>
      <c r="C873" s="19"/>
      <c r="D873" s="26"/>
      <c r="E873" s="27" t="str">
        <f aca="false">IF($B873="","",IFERROR(INDEX(Products!$B$2:$B$201,MATCH($B873,Products!$A$2:$A$201,0)),"Unknown code"))</f>
        <v/>
      </c>
      <c r="F873" s="22" t="str">
        <f aca="false">IF($B873="","",IFERROR(INDEX(Products!$C$2:$C$201,MATCH($B873,Products!$A$2:$A$201,0)),""))</f>
        <v/>
      </c>
      <c r="G873" s="17" t="str">
        <f aca="false">IF($B873="","",IFERROR(INDEX(Products!$D$2:$D$201,MATCH($B873,Products!$A$2:$A$201,0)),0))</f>
        <v/>
      </c>
      <c r="H873" s="17" t="str">
        <f aca="false">IF($B873="","",C873*G873*(1-D873))</f>
        <v/>
      </c>
      <c r="I873" s="17" t="str">
        <f aca="false">IF($B873="","",C873*IFERROR(INDEX(Products!$E$2:$E$201,MATCH($B873,Products!$A$2:$A$201,0)),0))</f>
        <v/>
      </c>
      <c r="J873" s="17" t="str">
        <f aca="false">IF($B873="","",H873-I873)</f>
        <v/>
      </c>
      <c r="K873" s="16" t="str">
        <f aca="false">IF($A873="","",DATE(YEAR($A873),MONTH($A873),1))</f>
        <v/>
      </c>
    </row>
    <row r="874" customFormat="false" ht="15" hidden="false" customHeight="false" outlineLevel="0" collapsed="false">
      <c r="A874" s="25"/>
      <c r="B874" s="19"/>
      <c r="C874" s="19"/>
      <c r="D874" s="26"/>
      <c r="E874" s="27" t="str">
        <f aca="false">IF($B874="","",IFERROR(INDEX(Products!$B$2:$B$201,MATCH($B874,Products!$A$2:$A$201,0)),"Unknown code"))</f>
        <v/>
      </c>
      <c r="F874" s="22" t="str">
        <f aca="false">IF($B874="","",IFERROR(INDEX(Products!$C$2:$C$201,MATCH($B874,Products!$A$2:$A$201,0)),""))</f>
        <v/>
      </c>
      <c r="G874" s="17" t="str">
        <f aca="false">IF($B874="","",IFERROR(INDEX(Products!$D$2:$D$201,MATCH($B874,Products!$A$2:$A$201,0)),0))</f>
        <v/>
      </c>
      <c r="H874" s="17" t="str">
        <f aca="false">IF($B874="","",C874*G874*(1-D874))</f>
        <v/>
      </c>
      <c r="I874" s="17" t="str">
        <f aca="false">IF($B874="","",C874*IFERROR(INDEX(Products!$E$2:$E$201,MATCH($B874,Products!$A$2:$A$201,0)),0))</f>
        <v/>
      </c>
      <c r="J874" s="17" t="str">
        <f aca="false">IF($B874="","",H874-I874)</f>
        <v/>
      </c>
      <c r="K874" s="16" t="str">
        <f aca="false">IF($A874="","",DATE(YEAR($A874),MONTH($A874),1))</f>
        <v/>
      </c>
    </row>
    <row r="875" customFormat="false" ht="15" hidden="false" customHeight="false" outlineLevel="0" collapsed="false">
      <c r="A875" s="25"/>
      <c r="B875" s="19"/>
      <c r="C875" s="19"/>
      <c r="D875" s="26"/>
      <c r="E875" s="27" t="str">
        <f aca="false">IF($B875="","",IFERROR(INDEX(Products!$B$2:$B$201,MATCH($B875,Products!$A$2:$A$201,0)),"Unknown code"))</f>
        <v/>
      </c>
      <c r="F875" s="22" t="str">
        <f aca="false">IF($B875="","",IFERROR(INDEX(Products!$C$2:$C$201,MATCH($B875,Products!$A$2:$A$201,0)),""))</f>
        <v/>
      </c>
      <c r="G875" s="17" t="str">
        <f aca="false">IF($B875="","",IFERROR(INDEX(Products!$D$2:$D$201,MATCH($B875,Products!$A$2:$A$201,0)),0))</f>
        <v/>
      </c>
      <c r="H875" s="17" t="str">
        <f aca="false">IF($B875="","",C875*G875*(1-D875))</f>
        <v/>
      </c>
      <c r="I875" s="17" t="str">
        <f aca="false">IF($B875="","",C875*IFERROR(INDEX(Products!$E$2:$E$201,MATCH($B875,Products!$A$2:$A$201,0)),0))</f>
        <v/>
      </c>
      <c r="J875" s="17" t="str">
        <f aca="false">IF($B875="","",H875-I875)</f>
        <v/>
      </c>
      <c r="K875" s="16" t="str">
        <f aca="false">IF($A875="","",DATE(YEAR($A875),MONTH($A875),1))</f>
        <v/>
      </c>
    </row>
    <row r="876" customFormat="false" ht="15" hidden="false" customHeight="false" outlineLevel="0" collapsed="false">
      <c r="A876" s="25"/>
      <c r="B876" s="19"/>
      <c r="C876" s="19"/>
      <c r="D876" s="26"/>
      <c r="E876" s="27" t="str">
        <f aca="false">IF($B876="","",IFERROR(INDEX(Products!$B$2:$B$201,MATCH($B876,Products!$A$2:$A$201,0)),"Unknown code"))</f>
        <v/>
      </c>
      <c r="F876" s="22" t="str">
        <f aca="false">IF($B876="","",IFERROR(INDEX(Products!$C$2:$C$201,MATCH($B876,Products!$A$2:$A$201,0)),""))</f>
        <v/>
      </c>
      <c r="G876" s="17" t="str">
        <f aca="false">IF($B876="","",IFERROR(INDEX(Products!$D$2:$D$201,MATCH($B876,Products!$A$2:$A$201,0)),0))</f>
        <v/>
      </c>
      <c r="H876" s="17" t="str">
        <f aca="false">IF($B876="","",C876*G876*(1-D876))</f>
        <v/>
      </c>
      <c r="I876" s="17" t="str">
        <f aca="false">IF($B876="","",C876*IFERROR(INDEX(Products!$E$2:$E$201,MATCH($B876,Products!$A$2:$A$201,0)),0))</f>
        <v/>
      </c>
      <c r="J876" s="17" t="str">
        <f aca="false">IF($B876="","",H876-I876)</f>
        <v/>
      </c>
      <c r="K876" s="16" t="str">
        <f aca="false">IF($A876="","",DATE(YEAR($A876),MONTH($A876),1))</f>
        <v/>
      </c>
    </row>
    <row r="877" customFormat="false" ht="15" hidden="false" customHeight="false" outlineLevel="0" collapsed="false">
      <c r="A877" s="25"/>
      <c r="B877" s="19"/>
      <c r="C877" s="19"/>
      <c r="D877" s="26"/>
      <c r="E877" s="27" t="str">
        <f aca="false">IF($B877="","",IFERROR(INDEX(Products!$B$2:$B$201,MATCH($B877,Products!$A$2:$A$201,0)),"Unknown code"))</f>
        <v/>
      </c>
      <c r="F877" s="22" t="str">
        <f aca="false">IF($B877="","",IFERROR(INDEX(Products!$C$2:$C$201,MATCH($B877,Products!$A$2:$A$201,0)),""))</f>
        <v/>
      </c>
      <c r="G877" s="17" t="str">
        <f aca="false">IF($B877="","",IFERROR(INDEX(Products!$D$2:$D$201,MATCH($B877,Products!$A$2:$A$201,0)),0))</f>
        <v/>
      </c>
      <c r="H877" s="17" t="str">
        <f aca="false">IF($B877="","",C877*G877*(1-D877))</f>
        <v/>
      </c>
      <c r="I877" s="17" t="str">
        <f aca="false">IF($B877="","",C877*IFERROR(INDEX(Products!$E$2:$E$201,MATCH($B877,Products!$A$2:$A$201,0)),0))</f>
        <v/>
      </c>
      <c r="J877" s="17" t="str">
        <f aca="false">IF($B877="","",H877-I877)</f>
        <v/>
      </c>
      <c r="K877" s="16" t="str">
        <f aca="false">IF($A877="","",DATE(YEAR($A877),MONTH($A877),1))</f>
        <v/>
      </c>
    </row>
    <row r="878" customFormat="false" ht="15" hidden="false" customHeight="false" outlineLevel="0" collapsed="false">
      <c r="A878" s="25"/>
      <c r="B878" s="19"/>
      <c r="C878" s="19"/>
      <c r="D878" s="26"/>
      <c r="E878" s="27" t="str">
        <f aca="false">IF($B878="","",IFERROR(INDEX(Products!$B$2:$B$201,MATCH($B878,Products!$A$2:$A$201,0)),"Unknown code"))</f>
        <v/>
      </c>
      <c r="F878" s="22" t="str">
        <f aca="false">IF($B878="","",IFERROR(INDEX(Products!$C$2:$C$201,MATCH($B878,Products!$A$2:$A$201,0)),""))</f>
        <v/>
      </c>
      <c r="G878" s="17" t="str">
        <f aca="false">IF($B878="","",IFERROR(INDEX(Products!$D$2:$D$201,MATCH($B878,Products!$A$2:$A$201,0)),0))</f>
        <v/>
      </c>
      <c r="H878" s="17" t="str">
        <f aca="false">IF($B878="","",C878*G878*(1-D878))</f>
        <v/>
      </c>
      <c r="I878" s="17" t="str">
        <f aca="false">IF($B878="","",C878*IFERROR(INDEX(Products!$E$2:$E$201,MATCH($B878,Products!$A$2:$A$201,0)),0))</f>
        <v/>
      </c>
      <c r="J878" s="17" t="str">
        <f aca="false">IF($B878="","",H878-I878)</f>
        <v/>
      </c>
      <c r="K878" s="16" t="str">
        <f aca="false">IF($A878="","",DATE(YEAR($A878),MONTH($A878),1))</f>
        <v/>
      </c>
    </row>
    <row r="879" customFormat="false" ht="15" hidden="false" customHeight="false" outlineLevel="0" collapsed="false">
      <c r="A879" s="25"/>
      <c r="B879" s="19"/>
      <c r="C879" s="19"/>
      <c r="D879" s="26"/>
      <c r="E879" s="27" t="str">
        <f aca="false">IF($B879="","",IFERROR(INDEX(Products!$B$2:$B$201,MATCH($B879,Products!$A$2:$A$201,0)),"Unknown code"))</f>
        <v/>
      </c>
      <c r="F879" s="22" t="str">
        <f aca="false">IF($B879="","",IFERROR(INDEX(Products!$C$2:$C$201,MATCH($B879,Products!$A$2:$A$201,0)),""))</f>
        <v/>
      </c>
      <c r="G879" s="17" t="str">
        <f aca="false">IF($B879="","",IFERROR(INDEX(Products!$D$2:$D$201,MATCH($B879,Products!$A$2:$A$201,0)),0))</f>
        <v/>
      </c>
      <c r="H879" s="17" t="str">
        <f aca="false">IF($B879="","",C879*G879*(1-D879))</f>
        <v/>
      </c>
      <c r="I879" s="17" t="str">
        <f aca="false">IF($B879="","",C879*IFERROR(INDEX(Products!$E$2:$E$201,MATCH($B879,Products!$A$2:$A$201,0)),0))</f>
        <v/>
      </c>
      <c r="J879" s="17" t="str">
        <f aca="false">IF($B879="","",H879-I879)</f>
        <v/>
      </c>
      <c r="K879" s="16" t="str">
        <f aca="false">IF($A879="","",DATE(YEAR($A879),MONTH($A879),1))</f>
        <v/>
      </c>
    </row>
    <row r="880" customFormat="false" ht="15" hidden="false" customHeight="false" outlineLevel="0" collapsed="false">
      <c r="A880" s="25"/>
      <c r="B880" s="19"/>
      <c r="C880" s="19"/>
      <c r="D880" s="26"/>
      <c r="E880" s="27" t="str">
        <f aca="false">IF($B880="","",IFERROR(INDEX(Products!$B$2:$B$201,MATCH($B880,Products!$A$2:$A$201,0)),"Unknown code"))</f>
        <v/>
      </c>
      <c r="F880" s="22" t="str">
        <f aca="false">IF($B880="","",IFERROR(INDEX(Products!$C$2:$C$201,MATCH($B880,Products!$A$2:$A$201,0)),""))</f>
        <v/>
      </c>
      <c r="G880" s="17" t="str">
        <f aca="false">IF($B880="","",IFERROR(INDEX(Products!$D$2:$D$201,MATCH($B880,Products!$A$2:$A$201,0)),0))</f>
        <v/>
      </c>
      <c r="H880" s="17" t="str">
        <f aca="false">IF($B880="","",C880*G880*(1-D880))</f>
        <v/>
      </c>
      <c r="I880" s="17" t="str">
        <f aca="false">IF($B880="","",C880*IFERROR(INDEX(Products!$E$2:$E$201,MATCH($B880,Products!$A$2:$A$201,0)),0))</f>
        <v/>
      </c>
      <c r="J880" s="17" t="str">
        <f aca="false">IF($B880="","",H880-I880)</f>
        <v/>
      </c>
      <c r="K880" s="16" t="str">
        <f aca="false">IF($A880="","",DATE(YEAR($A880),MONTH($A880),1))</f>
        <v/>
      </c>
    </row>
    <row r="881" customFormat="false" ht="15" hidden="false" customHeight="false" outlineLevel="0" collapsed="false">
      <c r="A881" s="25"/>
      <c r="B881" s="19"/>
      <c r="C881" s="19"/>
      <c r="D881" s="26"/>
      <c r="E881" s="27" t="str">
        <f aca="false">IF($B881="","",IFERROR(INDEX(Products!$B$2:$B$201,MATCH($B881,Products!$A$2:$A$201,0)),"Unknown code"))</f>
        <v/>
      </c>
      <c r="F881" s="22" t="str">
        <f aca="false">IF($B881="","",IFERROR(INDEX(Products!$C$2:$C$201,MATCH($B881,Products!$A$2:$A$201,0)),""))</f>
        <v/>
      </c>
      <c r="G881" s="17" t="str">
        <f aca="false">IF($B881="","",IFERROR(INDEX(Products!$D$2:$D$201,MATCH($B881,Products!$A$2:$A$201,0)),0))</f>
        <v/>
      </c>
      <c r="H881" s="17" t="str">
        <f aca="false">IF($B881="","",C881*G881*(1-D881))</f>
        <v/>
      </c>
      <c r="I881" s="17" t="str">
        <f aca="false">IF($B881="","",C881*IFERROR(INDEX(Products!$E$2:$E$201,MATCH($B881,Products!$A$2:$A$201,0)),0))</f>
        <v/>
      </c>
      <c r="J881" s="17" t="str">
        <f aca="false">IF($B881="","",H881-I881)</f>
        <v/>
      </c>
      <c r="K881" s="16" t="str">
        <f aca="false">IF($A881="","",DATE(YEAR($A881),MONTH($A881),1))</f>
        <v/>
      </c>
    </row>
    <row r="882" customFormat="false" ht="15" hidden="false" customHeight="false" outlineLevel="0" collapsed="false">
      <c r="A882" s="25"/>
      <c r="B882" s="19"/>
      <c r="C882" s="19"/>
      <c r="D882" s="26"/>
      <c r="E882" s="27" t="str">
        <f aca="false">IF($B882="","",IFERROR(INDEX(Products!$B$2:$B$201,MATCH($B882,Products!$A$2:$A$201,0)),"Unknown code"))</f>
        <v/>
      </c>
      <c r="F882" s="22" t="str">
        <f aca="false">IF($B882="","",IFERROR(INDEX(Products!$C$2:$C$201,MATCH($B882,Products!$A$2:$A$201,0)),""))</f>
        <v/>
      </c>
      <c r="G882" s="17" t="str">
        <f aca="false">IF($B882="","",IFERROR(INDEX(Products!$D$2:$D$201,MATCH($B882,Products!$A$2:$A$201,0)),0))</f>
        <v/>
      </c>
      <c r="H882" s="17" t="str">
        <f aca="false">IF($B882="","",C882*G882*(1-D882))</f>
        <v/>
      </c>
      <c r="I882" s="17" t="str">
        <f aca="false">IF($B882="","",C882*IFERROR(INDEX(Products!$E$2:$E$201,MATCH($B882,Products!$A$2:$A$201,0)),0))</f>
        <v/>
      </c>
      <c r="J882" s="17" t="str">
        <f aca="false">IF($B882="","",H882-I882)</f>
        <v/>
      </c>
      <c r="K882" s="16" t="str">
        <f aca="false">IF($A882="","",DATE(YEAR($A882),MONTH($A882),1))</f>
        <v/>
      </c>
    </row>
    <row r="883" customFormat="false" ht="15" hidden="false" customHeight="false" outlineLevel="0" collapsed="false">
      <c r="A883" s="25"/>
      <c r="B883" s="19"/>
      <c r="C883" s="19"/>
      <c r="D883" s="26"/>
      <c r="E883" s="27" t="str">
        <f aca="false">IF($B883="","",IFERROR(INDEX(Products!$B$2:$B$201,MATCH($B883,Products!$A$2:$A$201,0)),"Unknown code"))</f>
        <v/>
      </c>
      <c r="F883" s="22" t="str">
        <f aca="false">IF($B883="","",IFERROR(INDEX(Products!$C$2:$C$201,MATCH($B883,Products!$A$2:$A$201,0)),""))</f>
        <v/>
      </c>
      <c r="G883" s="17" t="str">
        <f aca="false">IF($B883="","",IFERROR(INDEX(Products!$D$2:$D$201,MATCH($B883,Products!$A$2:$A$201,0)),0))</f>
        <v/>
      </c>
      <c r="H883" s="17" t="str">
        <f aca="false">IF($B883="","",C883*G883*(1-D883))</f>
        <v/>
      </c>
      <c r="I883" s="17" t="str">
        <f aca="false">IF($B883="","",C883*IFERROR(INDEX(Products!$E$2:$E$201,MATCH($B883,Products!$A$2:$A$201,0)),0))</f>
        <v/>
      </c>
      <c r="J883" s="17" t="str">
        <f aca="false">IF($B883="","",H883-I883)</f>
        <v/>
      </c>
      <c r="K883" s="16" t="str">
        <f aca="false">IF($A883="","",DATE(YEAR($A883),MONTH($A883),1))</f>
        <v/>
      </c>
    </row>
    <row r="884" customFormat="false" ht="15" hidden="false" customHeight="false" outlineLevel="0" collapsed="false">
      <c r="A884" s="25"/>
      <c r="B884" s="19"/>
      <c r="C884" s="19"/>
      <c r="D884" s="26"/>
      <c r="E884" s="27" t="str">
        <f aca="false">IF($B884="","",IFERROR(INDEX(Products!$B$2:$B$201,MATCH($B884,Products!$A$2:$A$201,0)),"Unknown code"))</f>
        <v/>
      </c>
      <c r="F884" s="22" t="str">
        <f aca="false">IF($B884="","",IFERROR(INDEX(Products!$C$2:$C$201,MATCH($B884,Products!$A$2:$A$201,0)),""))</f>
        <v/>
      </c>
      <c r="G884" s="17" t="str">
        <f aca="false">IF($B884="","",IFERROR(INDEX(Products!$D$2:$D$201,MATCH($B884,Products!$A$2:$A$201,0)),0))</f>
        <v/>
      </c>
      <c r="H884" s="17" t="str">
        <f aca="false">IF($B884="","",C884*G884*(1-D884))</f>
        <v/>
      </c>
      <c r="I884" s="17" t="str">
        <f aca="false">IF($B884="","",C884*IFERROR(INDEX(Products!$E$2:$E$201,MATCH($B884,Products!$A$2:$A$201,0)),0))</f>
        <v/>
      </c>
      <c r="J884" s="17" t="str">
        <f aca="false">IF($B884="","",H884-I884)</f>
        <v/>
      </c>
      <c r="K884" s="16" t="str">
        <f aca="false">IF($A884="","",DATE(YEAR($A884),MONTH($A884),1))</f>
        <v/>
      </c>
    </row>
    <row r="885" customFormat="false" ht="15" hidden="false" customHeight="false" outlineLevel="0" collapsed="false">
      <c r="A885" s="25"/>
      <c r="B885" s="19"/>
      <c r="C885" s="19"/>
      <c r="D885" s="26"/>
      <c r="E885" s="27" t="str">
        <f aca="false">IF($B885="","",IFERROR(INDEX(Products!$B$2:$B$201,MATCH($B885,Products!$A$2:$A$201,0)),"Unknown code"))</f>
        <v/>
      </c>
      <c r="F885" s="22" t="str">
        <f aca="false">IF($B885="","",IFERROR(INDEX(Products!$C$2:$C$201,MATCH($B885,Products!$A$2:$A$201,0)),""))</f>
        <v/>
      </c>
      <c r="G885" s="17" t="str">
        <f aca="false">IF($B885="","",IFERROR(INDEX(Products!$D$2:$D$201,MATCH($B885,Products!$A$2:$A$201,0)),0))</f>
        <v/>
      </c>
      <c r="H885" s="17" t="str">
        <f aca="false">IF($B885="","",C885*G885*(1-D885))</f>
        <v/>
      </c>
      <c r="I885" s="17" t="str">
        <f aca="false">IF($B885="","",C885*IFERROR(INDEX(Products!$E$2:$E$201,MATCH($B885,Products!$A$2:$A$201,0)),0))</f>
        <v/>
      </c>
      <c r="J885" s="17" t="str">
        <f aca="false">IF($B885="","",H885-I885)</f>
        <v/>
      </c>
      <c r="K885" s="16" t="str">
        <f aca="false">IF($A885="","",DATE(YEAR($A885),MONTH($A885),1))</f>
        <v/>
      </c>
    </row>
    <row r="886" customFormat="false" ht="15" hidden="false" customHeight="false" outlineLevel="0" collapsed="false">
      <c r="A886" s="25"/>
      <c r="B886" s="19"/>
      <c r="C886" s="19"/>
      <c r="D886" s="26"/>
      <c r="E886" s="27" t="str">
        <f aca="false">IF($B886="","",IFERROR(INDEX(Products!$B$2:$B$201,MATCH($B886,Products!$A$2:$A$201,0)),"Unknown code"))</f>
        <v/>
      </c>
      <c r="F886" s="22" t="str">
        <f aca="false">IF($B886="","",IFERROR(INDEX(Products!$C$2:$C$201,MATCH($B886,Products!$A$2:$A$201,0)),""))</f>
        <v/>
      </c>
      <c r="G886" s="17" t="str">
        <f aca="false">IF($B886="","",IFERROR(INDEX(Products!$D$2:$D$201,MATCH($B886,Products!$A$2:$A$201,0)),0))</f>
        <v/>
      </c>
      <c r="H886" s="17" t="str">
        <f aca="false">IF($B886="","",C886*G886*(1-D886))</f>
        <v/>
      </c>
      <c r="I886" s="17" t="str">
        <f aca="false">IF($B886="","",C886*IFERROR(INDEX(Products!$E$2:$E$201,MATCH($B886,Products!$A$2:$A$201,0)),0))</f>
        <v/>
      </c>
      <c r="J886" s="17" t="str">
        <f aca="false">IF($B886="","",H886-I886)</f>
        <v/>
      </c>
      <c r="K886" s="16" t="str">
        <f aca="false">IF($A886="","",DATE(YEAR($A886),MONTH($A886),1))</f>
        <v/>
      </c>
    </row>
    <row r="887" customFormat="false" ht="15" hidden="false" customHeight="false" outlineLevel="0" collapsed="false">
      <c r="A887" s="25"/>
      <c r="B887" s="19"/>
      <c r="C887" s="19"/>
      <c r="D887" s="26"/>
      <c r="E887" s="27" t="str">
        <f aca="false">IF($B887="","",IFERROR(INDEX(Products!$B$2:$B$201,MATCH($B887,Products!$A$2:$A$201,0)),"Unknown code"))</f>
        <v/>
      </c>
      <c r="F887" s="22" t="str">
        <f aca="false">IF($B887="","",IFERROR(INDEX(Products!$C$2:$C$201,MATCH($B887,Products!$A$2:$A$201,0)),""))</f>
        <v/>
      </c>
      <c r="G887" s="17" t="str">
        <f aca="false">IF($B887="","",IFERROR(INDEX(Products!$D$2:$D$201,MATCH($B887,Products!$A$2:$A$201,0)),0))</f>
        <v/>
      </c>
      <c r="H887" s="17" t="str">
        <f aca="false">IF($B887="","",C887*G887*(1-D887))</f>
        <v/>
      </c>
      <c r="I887" s="17" t="str">
        <f aca="false">IF($B887="","",C887*IFERROR(INDEX(Products!$E$2:$E$201,MATCH($B887,Products!$A$2:$A$201,0)),0))</f>
        <v/>
      </c>
      <c r="J887" s="17" t="str">
        <f aca="false">IF($B887="","",H887-I887)</f>
        <v/>
      </c>
      <c r="K887" s="16" t="str">
        <f aca="false">IF($A887="","",DATE(YEAR($A887),MONTH($A887),1))</f>
        <v/>
      </c>
    </row>
    <row r="888" customFormat="false" ht="15" hidden="false" customHeight="false" outlineLevel="0" collapsed="false">
      <c r="A888" s="25"/>
      <c r="B888" s="19"/>
      <c r="C888" s="19"/>
      <c r="D888" s="26"/>
      <c r="E888" s="27" t="str">
        <f aca="false">IF($B888="","",IFERROR(INDEX(Products!$B$2:$B$201,MATCH($B888,Products!$A$2:$A$201,0)),"Unknown code"))</f>
        <v/>
      </c>
      <c r="F888" s="22" t="str">
        <f aca="false">IF($B888="","",IFERROR(INDEX(Products!$C$2:$C$201,MATCH($B888,Products!$A$2:$A$201,0)),""))</f>
        <v/>
      </c>
      <c r="G888" s="17" t="str">
        <f aca="false">IF($B888="","",IFERROR(INDEX(Products!$D$2:$D$201,MATCH($B888,Products!$A$2:$A$201,0)),0))</f>
        <v/>
      </c>
      <c r="H888" s="17" t="str">
        <f aca="false">IF($B888="","",C888*G888*(1-D888))</f>
        <v/>
      </c>
      <c r="I888" s="17" t="str">
        <f aca="false">IF($B888="","",C888*IFERROR(INDEX(Products!$E$2:$E$201,MATCH($B888,Products!$A$2:$A$201,0)),0))</f>
        <v/>
      </c>
      <c r="J888" s="17" t="str">
        <f aca="false">IF($B888="","",H888-I888)</f>
        <v/>
      </c>
      <c r="K888" s="16" t="str">
        <f aca="false">IF($A888="","",DATE(YEAR($A888),MONTH($A888),1))</f>
        <v/>
      </c>
    </row>
    <row r="889" customFormat="false" ht="15" hidden="false" customHeight="false" outlineLevel="0" collapsed="false">
      <c r="A889" s="25"/>
      <c r="B889" s="19"/>
      <c r="C889" s="19"/>
      <c r="D889" s="26"/>
      <c r="E889" s="27" t="str">
        <f aca="false">IF($B889="","",IFERROR(INDEX(Products!$B$2:$B$201,MATCH($B889,Products!$A$2:$A$201,0)),"Unknown code"))</f>
        <v/>
      </c>
      <c r="F889" s="22" t="str">
        <f aca="false">IF($B889="","",IFERROR(INDEX(Products!$C$2:$C$201,MATCH($B889,Products!$A$2:$A$201,0)),""))</f>
        <v/>
      </c>
      <c r="G889" s="17" t="str">
        <f aca="false">IF($B889="","",IFERROR(INDEX(Products!$D$2:$D$201,MATCH($B889,Products!$A$2:$A$201,0)),0))</f>
        <v/>
      </c>
      <c r="H889" s="17" t="str">
        <f aca="false">IF($B889="","",C889*G889*(1-D889))</f>
        <v/>
      </c>
      <c r="I889" s="17" t="str">
        <f aca="false">IF($B889="","",C889*IFERROR(INDEX(Products!$E$2:$E$201,MATCH($B889,Products!$A$2:$A$201,0)),0))</f>
        <v/>
      </c>
      <c r="J889" s="17" t="str">
        <f aca="false">IF($B889="","",H889-I889)</f>
        <v/>
      </c>
      <c r="K889" s="16" t="str">
        <f aca="false">IF($A889="","",DATE(YEAR($A889),MONTH($A889),1))</f>
        <v/>
      </c>
    </row>
    <row r="890" customFormat="false" ht="15" hidden="false" customHeight="false" outlineLevel="0" collapsed="false">
      <c r="A890" s="25"/>
      <c r="B890" s="19"/>
      <c r="C890" s="19"/>
      <c r="D890" s="26"/>
      <c r="E890" s="27" t="str">
        <f aca="false">IF($B890="","",IFERROR(INDEX(Products!$B$2:$B$201,MATCH($B890,Products!$A$2:$A$201,0)),"Unknown code"))</f>
        <v/>
      </c>
      <c r="F890" s="22" t="str">
        <f aca="false">IF($B890="","",IFERROR(INDEX(Products!$C$2:$C$201,MATCH($B890,Products!$A$2:$A$201,0)),""))</f>
        <v/>
      </c>
      <c r="G890" s="17" t="str">
        <f aca="false">IF($B890="","",IFERROR(INDEX(Products!$D$2:$D$201,MATCH($B890,Products!$A$2:$A$201,0)),0))</f>
        <v/>
      </c>
      <c r="H890" s="17" t="str">
        <f aca="false">IF($B890="","",C890*G890*(1-D890))</f>
        <v/>
      </c>
      <c r="I890" s="17" t="str">
        <f aca="false">IF($B890="","",C890*IFERROR(INDEX(Products!$E$2:$E$201,MATCH($B890,Products!$A$2:$A$201,0)),0))</f>
        <v/>
      </c>
      <c r="J890" s="17" t="str">
        <f aca="false">IF($B890="","",H890-I890)</f>
        <v/>
      </c>
      <c r="K890" s="16" t="str">
        <f aca="false">IF($A890="","",DATE(YEAR($A890),MONTH($A890),1))</f>
        <v/>
      </c>
    </row>
    <row r="891" customFormat="false" ht="15" hidden="false" customHeight="false" outlineLevel="0" collapsed="false">
      <c r="A891" s="25"/>
      <c r="B891" s="19"/>
      <c r="C891" s="19"/>
      <c r="D891" s="26"/>
      <c r="E891" s="27" t="str">
        <f aca="false">IF($B891="","",IFERROR(INDEX(Products!$B$2:$B$201,MATCH($B891,Products!$A$2:$A$201,0)),"Unknown code"))</f>
        <v/>
      </c>
      <c r="F891" s="22" t="str">
        <f aca="false">IF($B891="","",IFERROR(INDEX(Products!$C$2:$C$201,MATCH($B891,Products!$A$2:$A$201,0)),""))</f>
        <v/>
      </c>
      <c r="G891" s="17" t="str">
        <f aca="false">IF($B891="","",IFERROR(INDEX(Products!$D$2:$D$201,MATCH($B891,Products!$A$2:$A$201,0)),0))</f>
        <v/>
      </c>
      <c r="H891" s="17" t="str">
        <f aca="false">IF($B891="","",C891*G891*(1-D891))</f>
        <v/>
      </c>
      <c r="I891" s="17" t="str">
        <f aca="false">IF($B891="","",C891*IFERROR(INDEX(Products!$E$2:$E$201,MATCH($B891,Products!$A$2:$A$201,0)),0))</f>
        <v/>
      </c>
      <c r="J891" s="17" t="str">
        <f aca="false">IF($B891="","",H891-I891)</f>
        <v/>
      </c>
      <c r="K891" s="16" t="str">
        <f aca="false">IF($A891="","",DATE(YEAR($A891),MONTH($A891),1))</f>
        <v/>
      </c>
    </row>
    <row r="892" customFormat="false" ht="15" hidden="false" customHeight="false" outlineLevel="0" collapsed="false">
      <c r="A892" s="25"/>
      <c r="B892" s="19"/>
      <c r="C892" s="19"/>
      <c r="D892" s="26"/>
      <c r="E892" s="27" t="str">
        <f aca="false">IF($B892="","",IFERROR(INDEX(Products!$B$2:$B$201,MATCH($B892,Products!$A$2:$A$201,0)),"Unknown code"))</f>
        <v/>
      </c>
      <c r="F892" s="22" t="str">
        <f aca="false">IF($B892="","",IFERROR(INDEX(Products!$C$2:$C$201,MATCH($B892,Products!$A$2:$A$201,0)),""))</f>
        <v/>
      </c>
      <c r="G892" s="17" t="str">
        <f aca="false">IF($B892="","",IFERROR(INDEX(Products!$D$2:$D$201,MATCH($B892,Products!$A$2:$A$201,0)),0))</f>
        <v/>
      </c>
      <c r="H892" s="17" t="str">
        <f aca="false">IF($B892="","",C892*G892*(1-D892))</f>
        <v/>
      </c>
      <c r="I892" s="17" t="str">
        <f aca="false">IF($B892="","",C892*IFERROR(INDEX(Products!$E$2:$E$201,MATCH($B892,Products!$A$2:$A$201,0)),0))</f>
        <v/>
      </c>
      <c r="J892" s="17" t="str">
        <f aca="false">IF($B892="","",H892-I892)</f>
        <v/>
      </c>
      <c r="K892" s="16" t="str">
        <f aca="false">IF($A892="","",DATE(YEAR($A892),MONTH($A892),1))</f>
        <v/>
      </c>
    </row>
    <row r="893" customFormat="false" ht="15" hidden="false" customHeight="false" outlineLevel="0" collapsed="false">
      <c r="A893" s="25"/>
      <c r="B893" s="19"/>
      <c r="C893" s="19"/>
      <c r="D893" s="26"/>
      <c r="E893" s="27" t="str">
        <f aca="false">IF($B893="","",IFERROR(INDEX(Products!$B$2:$B$201,MATCH($B893,Products!$A$2:$A$201,0)),"Unknown code"))</f>
        <v/>
      </c>
      <c r="F893" s="22" t="str">
        <f aca="false">IF($B893="","",IFERROR(INDEX(Products!$C$2:$C$201,MATCH($B893,Products!$A$2:$A$201,0)),""))</f>
        <v/>
      </c>
      <c r="G893" s="17" t="str">
        <f aca="false">IF($B893="","",IFERROR(INDEX(Products!$D$2:$D$201,MATCH($B893,Products!$A$2:$A$201,0)),0))</f>
        <v/>
      </c>
      <c r="H893" s="17" t="str">
        <f aca="false">IF($B893="","",C893*G893*(1-D893))</f>
        <v/>
      </c>
      <c r="I893" s="17" t="str">
        <f aca="false">IF($B893="","",C893*IFERROR(INDEX(Products!$E$2:$E$201,MATCH($B893,Products!$A$2:$A$201,0)),0))</f>
        <v/>
      </c>
      <c r="J893" s="17" t="str">
        <f aca="false">IF($B893="","",H893-I893)</f>
        <v/>
      </c>
      <c r="K893" s="16" t="str">
        <f aca="false">IF($A893="","",DATE(YEAR($A893),MONTH($A893),1))</f>
        <v/>
      </c>
    </row>
    <row r="894" customFormat="false" ht="15" hidden="false" customHeight="false" outlineLevel="0" collapsed="false">
      <c r="A894" s="25"/>
      <c r="B894" s="19"/>
      <c r="C894" s="19"/>
      <c r="D894" s="26"/>
      <c r="E894" s="27" t="str">
        <f aca="false">IF($B894="","",IFERROR(INDEX(Products!$B$2:$B$201,MATCH($B894,Products!$A$2:$A$201,0)),"Unknown code"))</f>
        <v/>
      </c>
      <c r="F894" s="22" t="str">
        <f aca="false">IF($B894="","",IFERROR(INDEX(Products!$C$2:$C$201,MATCH($B894,Products!$A$2:$A$201,0)),""))</f>
        <v/>
      </c>
      <c r="G894" s="17" t="str">
        <f aca="false">IF($B894="","",IFERROR(INDEX(Products!$D$2:$D$201,MATCH($B894,Products!$A$2:$A$201,0)),0))</f>
        <v/>
      </c>
      <c r="H894" s="17" t="str">
        <f aca="false">IF($B894="","",C894*G894*(1-D894))</f>
        <v/>
      </c>
      <c r="I894" s="17" t="str">
        <f aca="false">IF($B894="","",C894*IFERROR(INDEX(Products!$E$2:$E$201,MATCH($B894,Products!$A$2:$A$201,0)),0))</f>
        <v/>
      </c>
      <c r="J894" s="17" t="str">
        <f aca="false">IF($B894="","",H894-I894)</f>
        <v/>
      </c>
      <c r="K894" s="16" t="str">
        <f aca="false">IF($A894="","",DATE(YEAR($A894),MONTH($A894),1))</f>
        <v/>
      </c>
    </row>
    <row r="895" customFormat="false" ht="15" hidden="false" customHeight="false" outlineLevel="0" collapsed="false">
      <c r="A895" s="25"/>
      <c r="B895" s="19"/>
      <c r="C895" s="19"/>
      <c r="D895" s="26"/>
      <c r="E895" s="27" t="str">
        <f aca="false">IF($B895="","",IFERROR(INDEX(Products!$B$2:$B$201,MATCH($B895,Products!$A$2:$A$201,0)),"Unknown code"))</f>
        <v/>
      </c>
      <c r="F895" s="22" t="str">
        <f aca="false">IF($B895="","",IFERROR(INDEX(Products!$C$2:$C$201,MATCH($B895,Products!$A$2:$A$201,0)),""))</f>
        <v/>
      </c>
      <c r="G895" s="17" t="str">
        <f aca="false">IF($B895="","",IFERROR(INDEX(Products!$D$2:$D$201,MATCH($B895,Products!$A$2:$A$201,0)),0))</f>
        <v/>
      </c>
      <c r="H895" s="17" t="str">
        <f aca="false">IF($B895="","",C895*G895*(1-D895))</f>
        <v/>
      </c>
      <c r="I895" s="17" t="str">
        <f aca="false">IF($B895="","",C895*IFERROR(INDEX(Products!$E$2:$E$201,MATCH($B895,Products!$A$2:$A$201,0)),0))</f>
        <v/>
      </c>
      <c r="J895" s="17" t="str">
        <f aca="false">IF($B895="","",H895-I895)</f>
        <v/>
      </c>
      <c r="K895" s="16" t="str">
        <f aca="false">IF($A895="","",DATE(YEAR($A895),MONTH($A895),1))</f>
        <v/>
      </c>
    </row>
    <row r="896" customFormat="false" ht="15" hidden="false" customHeight="false" outlineLevel="0" collapsed="false">
      <c r="A896" s="25"/>
      <c r="B896" s="19"/>
      <c r="C896" s="19"/>
      <c r="D896" s="26"/>
      <c r="E896" s="27" t="str">
        <f aca="false">IF($B896="","",IFERROR(INDEX(Products!$B$2:$B$201,MATCH($B896,Products!$A$2:$A$201,0)),"Unknown code"))</f>
        <v/>
      </c>
      <c r="F896" s="22" t="str">
        <f aca="false">IF($B896="","",IFERROR(INDEX(Products!$C$2:$C$201,MATCH($B896,Products!$A$2:$A$201,0)),""))</f>
        <v/>
      </c>
      <c r="G896" s="17" t="str">
        <f aca="false">IF($B896="","",IFERROR(INDEX(Products!$D$2:$D$201,MATCH($B896,Products!$A$2:$A$201,0)),0))</f>
        <v/>
      </c>
      <c r="H896" s="17" t="str">
        <f aca="false">IF($B896="","",C896*G896*(1-D896))</f>
        <v/>
      </c>
      <c r="I896" s="17" t="str">
        <f aca="false">IF($B896="","",C896*IFERROR(INDEX(Products!$E$2:$E$201,MATCH($B896,Products!$A$2:$A$201,0)),0))</f>
        <v/>
      </c>
      <c r="J896" s="17" t="str">
        <f aca="false">IF($B896="","",H896-I896)</f>
        <v/>
      </c>
      <c r="K896" s="16" t="str">
        <f aca="false">IF($A896="","",DATE(YEAR($A896),MONTH($A896),1))</f>
        <v/>
      </c>
    </row>
    <row r="897" customFormat="false" ht="15" hidden="false" customHeight="false" outlineLevel="0" collapsed="false">
      <c r="A897" s="25"/>
      <c r="B897" s="19"/>
      <c r="C897" s="19"/>
      <c r="D897" s="26"/>
      <c r="E897" s="27" t="str">
        <f aca="false">IF($B897="","",IFERROR(INDEX(Products!$B$2:$B$201,MATCH($B897,Products!$A$2:$A$201,0)),"Unknown code"))</f>
        <v/>
      </c>
      <c r="F897" s="22" t="str">
        <f aca="false">IF($B897="","",IFERROR(INDEX(Products!$C$2:$C$201,MATCH($B897,Products!$A$2:$A$201,0)),""))</f>
        <v/>
      </c>
      <c r="G897" s="17" t="str">
        <f aca="false">IF($B897="","",IFERROR(INDEX(Products!$D$2:$D$201,MATCH($B897,Products!$A$2:$A$201,0)),0))</f>
        <v/>
      </c>
      <c r="H897" s="17" t="str">
        <f aca="false">IF($B897="","",C897*G897*(1-D897))</f>
        <v/>
      </c>
      <c r="I897" s="17" t="str">
        <f aca="false">IF($B897="","",C897*IFERROR(INDEX(Products!$E$2:$E$201,MATCH($B897,Products!$A$2:$A$201,0)),0))</f>
        <v/>
      </c>
      <c r="J897" s="17" t="str">
        <f aca="false">IF($B897="","",H897-I897)</f>
        <v/>
      </c>
      <c r="K897" s="16" t="str">
        <f aca="false">IF($A897="","",DATE(YEAR($A897),MONTH($A897),1))</f>
        <v/>
      </c>
    </row>
    <row r="898" customFormat="false" ht="15" hidden="false" customHeight="false" outlineLevel="0" collapsed="false">
      <c r="A898" s="25"/>
      <c r="B898" s="19"/>
      <c r="C898" s="19"/>
      <c r="D898" s="26"/>
      <c r="E898" s="27" t="str">
        <f aca="false">IF($B898="","",IFERROR(INDEX(Products!$B$2:$B$201,MATCH($B898,Products!$A$2:$A$201,0)),"Unknown code"))</f>
        <v/>
      </c>
      <c r="F898" s="22" t="str">
        <f aca="false">IF($B898="","",IFERROR(INDEX(Products!$C$2:$C$201,MATCH($B898,Products!$A$2:$A$201,0)),""))</f>
        <v/>
      </c>
      <c r="G898" s="17" t="str">
        <f aca="false">IF($B898="","",IFERROR(INDEX(Products!$D$2:$D$201,MATCH($B898,Products!$A$2:$A$201,0)),0))</f>
        <v/>
      </c>
      <c r="H898" s="17" t="str">
        <f aca="false">IF($B898="","",C898*G898*(1-D898))</f>
        <v/>
      </c>
      <c r="I898" s="17" t="str">
        <f aca="false">IF($B898="","",C898*IFERROR(INDEX(Products!$E$2:$E$201,MATCH($B898,Products!$A$2:$A$201,0)),0))</f>
        <v/>
      </c>
      <c r="J898" s="17" t="str">
        <f aca="false">IF($B898="","",H898-I898)</f>
        <v/>
      </c>
      <c r="K898" s="16" t="str">
        <f aca="false">IF($A898="","",DATE(YEAR($A898),MONTH($A898),1))</f>
        <v/>
      </c>
    </row>
    <row r="899" customFormat="false" ht="15" hidden="false" customHeight="false" outlineLevel="0" collapsed="false">
      <c r="A899" s="25"/>
      <c r="B899" s="19"/>
      <c r="C899" s="19"/>
      <c r="D899" s="26"/>
      <c r="E899" s="27" t="str">
        <f aca="false">IF($B899="","",IFERROR(INDEX(Products!$B$2:$B$201,MATCH($B899,Products!$A$2:$A$201,0)),"Unknown code"))</f>
        <v/>
      </c>
      <c r="F899" s="22" t="str">
        <f aca="false">IF($B899="","",IFERROR(INDEX(Products!$C$2:$C$201,MATCH($B899,Products!$A$2:$A$201,0)),""))</f>
        <v/>
      </c>
      <c r="G899" s="17" t="str">
        <f aca="false">IF($B899="","",IFERROR(INDEX(Products!$D$2:$D$201,MATCH($B899,Products!$A$2:$A$201,0)),0))</f>
        <v/>
      </c>
      <c r="H899" s="17" t="str">
        <f aca="false">IF($B899="","",C899*G899*(1-D899))</f>
        <v/>
      </c>
      <c r="I899" s="17" t="str">
        <f aca="false">IF($B899="","",C899*IFERROR(INDEX(Products!$E$2:$E$201,MATCH($B899,Products!$A$2:$A$201,0)),0))</f>
        <v/>
      </c>
      <c r="J899" s="17" t="str">
        <f aca="false">IF($B899="","",H899-I899)</f>
        <v/>
      </c>
      <c r="K899" s="16" t="str">
        <f aca="false">IF($A899="","",DATE(YEAR($A899),MONTH($A899),1))</f>
        <v/>
      </c>
    </row>
    <row r="900" customFormat="false" ht="15" hidden="false" customHeight="false" outlineLevel="0" collapsed="false">
      <c r="A900" s="25"/>
      <c r="B900" s="19"/>
      <c r="C900" s="19"/>
      <c r="D900" s="26"/>
      <c r="E900" s="27" t="str">
        <f aca="false">IF($B900="","",IFERROR(INDEX(Products!$B$2:$B$201,MATCH($B900,Products!$A$2:$A$201,0)),"Unknown code"))</f>
        <v/>
      </c>
      <c r="F900" s="22" t="str">
        <f aca="false">IF($B900="","",IFERROR(INDEX(Products!$C$2:$C$201,MATCH($B900,Products!$A$2:$A$201,0)),""))</f>
        <v/>
      </c>
      <c r="G900" s="17" t="str">
        <f aca="false">IF($B900="","",IFERROR(INDEX(Products!$D$2:$D$201,MATCH($B900,Products!$A$2:$A$201,0)),0))</f>
        <v/>
      </c>
      <c r="H900" s="17" t="str">
        <f aca="false">IF($B900="","",C900*G900*(1-D900))</f>
        <v/>
      </c>
      <c r="I900" s="17" t="str">
        <f aca="false">IF($B900="","",C900*IFERROR(INDEX(Products!$E$2:$E$201,MATCH($B900,Products!$A$2:$A$201,0)),0))</f>
        <v/>
      </c>
      <c r="J900" s="17" t="str">
        <f aca="false">IF($B900="","",H900-I900)</f>
        <v/>
      </c>
      <c r="K900" s="16" t="str">
        <f aca="false">IF($A900="","",DATE(YEAR($A900),MONTH($A900),1))</f>
        <v/>
      </c>
    </row>
    <row r="901" customFormat="false" ht="15" hidden="false" customHeight="false" outlineLevel="0" collapsed="false">
      <c r="A901" s="25"/>
      <c r="B901" s="19"/>
      <c r="C901" s="19"/>
      <c r="D901" s="26"/>
      <c r="E901" s="27" t="str">
        <f aca="false">IF($B901="","",IFERROR(INDEX(Products!$B$2:$B$201,MATCH($B901,Products!$A$2:$A$201,0)),"Unknown code"))</f>
        <v/>
      </c>
      <c r="F901" s="22" t="str">
        <f aca="false">IF($B901="","",IFERROR(INDEX(Products!$C$2:$C$201,MATCH($B901,Products!$A$2:$A$201,0)),""))</f>
        <v/>
      </c>
      <c r="G901" s="17" t="str">
        <f aca="false">IF($B901="","",IFERROR(INDEX(Products!$D$2:$D$201,MATCH($B901,Products!$A$2:$A$201,0)),0))</f>
        <v/>
      </c>
      <c r="H901" s="17" t="str">
        <f aca="false">IF($B901="","",C901*G901*(1-D901))</f>
        <v/>
      </c>
      <c r="I901" s="17" t="str">
        <f aca="false">IF($B901="","",C901*IFERROR(INDEX(Products!$E$2:$E$201,MATCH($B901,Products!$A$2:$A$201,0)),0))</f>
        <v/>
      </c>
      <c r="J901" s="17" t="str">
        <f aca="false">IF($B901="","",H901-I901)</f>
        <v/>
      </c>
      <c r="K901" s="16" t="str">
        <f aca="false">IF($A901="","",DATE(YEAR($A901),MONTH($A901),1))</f>
        <v/>
      </c>
    </row>
    <row r="902" customFormat="false" ht="15" hidden="false" customHeight="false" outlineLevel="0" collapsed="false">
      <c r="A902" s="25"/>
      <c r="B902" s="19"/>
      <c r="C902" s="19"/>
      <c r="D902" s="26"/>
      <c r="E902" s="27" t="str">
        <f aca="false">IF($B902="","",IFERROR(INDEX(Products!$B$2:$B$201,MATCH($B902,Products!$A$2:$A$201,0)),"Unknown code"))</f>
        <v/>
      </c>
      <c r="F902" s="22" t="str">
        <f aca="false">IF($B902="","",IFERROR(INDEX(Products!$C$2:$C$201,MATCH($B902,Products!$A$2:$A$201,0)),""))</f>
        <v/>
      </c>
      <c r="G902" s="17" t="str">
        <f aca="false">IF($B902="","",IFERROR(INDEX(Products!$D$2:$D$201,MATCH($B902,Products!$A$2:$A$201,0)),0))</f>
        <v/>
      </c>
      <c r="H902" s="17" t="str">
        <f aca="false">IF($B902="","",C902*G902*(1-D902))</f>
        <v/>
      </c>
      <c r="I902" s="17" t="str">
        <f aca="false">IF($B902="","",C902*IFERROR(INDEX(Products!$E$2:$E$201,MATCH($B902,Products!$A$2:$A$201,0)),0))</f>
        <v/>
      </c>
      <c r="J902" s="17" t="str">
        <f aca="false">IF($B902="","",H902-I902)</f>
        <v/>
      </c>
      <c r="K902" s="16" t="str">
        <f aca="false">IF($A902="","",DATE(YEAR($A902),MONTH($A902),1))</f>
        <v/>
      </c>
    </row>
    <row r="903" customFormat="false" ht="15" hidden="false" customHeight="false" outlineLevel="0" collapsed="false">
      <c r="A903" s="25"/>
      <c r="B903" s="19"/>
      <c r="C903" s="19"/>
      <c r="D903" s="26"/>
      <c r="E903" s="27" t="str">
        <f aca="false">IF($B903="","",IFERROR(INDEX(Products!$B$2:$B$201,MATCH($B903,Products!$A$2:$A$201,0)),"Unknown code"))</f>
        <v/>
      </c>
      <c r="F903" s="22" t="str">
        <f aca="false">IF($B903="","",IFERROR(INDEX(Products!$C$2:$C$201,MATCH($B903,Products!$A$2:$A$201,0)),""))</f>
        <v/>
      </c>
      <c r="G903" s="17" t="str">
        <f aca="false">IF($B903="","",IFERROR(INDEX(Products!$D$2:$D$201,MATCH($B903,Products!$A$2:$A$201,0)),0))</f>
        <v/>
      </c>
      <c r="H903" s="17" t="str">
        <f aca="false">IF($B903="","",C903*G903*(1-D903))</f>
        <v/>
      </c>
      <c r="I903" s="17" t="str">
        <f aca="false">IF($B903="","",C903*IFERROR(INDEX(Products!$E$2:$E$201,MATCH($B903,Products!$A$2:$A$201,0)),0))</f>
        <v/>
      </c>
      <c r="J903" s="17" t="str">
        <f aca="false">IF($B903="","",H903-I903)</f>
        <v/>
      </c>
      <c r="K903" s="16" t="str">
        <f aca="false">IF($A903="","",DATE(YEAR($A903),MONTH($A903),1))</f>
        <v/>
      </c>
    </row>
    <row r="904" customFormat="false" ht="15" hidden="false" customHeight="false" outlineLevel="0" collapsed="false">
      <c r="A904" s="25"/>
      <c r="B904" s="19"/>
      <c r="C904" s="19"/>
      <c r="D904" s="26"/>
      <c r="E904" s="27" t="str">
        <f aca="false">IF($B904="","",IFERROR(INDEX(Products!$B$2:$B$201,MATCH($B904,Products!$A$2:$A$201,0)),"Unknown code"))</f>
        <v/>
      </c>
      <c r="F904" s="22" t="str">
        <f aca="false">IF($B904="","",IFERROR(INDEX(Products!$C$2:$C$201,MATCH($B904,Products!$A$2:$A$201,0)),""))</f>
        <v/>
      </c>
      <c r="G904" s="17" t="str">
        <f aca="false">IF($B904="","",IFERROR(INDEX(Products!$D$2:$D$201,MATCH($B904,Products!$A$2:$A$201,0)),0))</f>
        <v/>
      </c>
      <c r="H904" s="17" t="str">
        <f aca="false">IF($B904="","",C904*G904*(1-D904))</f>
        <v/>
      </c>
      <c r="I904" s="17" t="str">
        <f aca="false">IF($B904="","",C904*IFERROR(INDEX(Products!$E$2:$E$201,MATCH($B904,Products!$A$2:$A$201,0)),0))</f>
        <v/>
      </c>
      <c r="J904" s="17" t="str">
        <f aca="false">IF($B904="","",H904-I904)</f>
        <v/>
      </c>
      <c r="K904" s="16" t="str">
        <f aca="false">IF($A904="","",DATE(YEAR($A904),MONTH($A904),1))</f>
        <v/>
      </c>
    </row>
    <row r="905" customFormat="false" ht="15" hidden="false" customHeight="false" outlineLevel="0" collapsed="false">
      <c r="A905" s="25"/>
      <c r="B905" s="19"/>
      <c r="C905" s="19"/>
      <c r="D905" s="26"/>
      <c r="E905" s="27" t="str">
        <f aca="false">IF($B905="","",IFERROR(INDEX(Products!$B$2:$B$201,MATCH($B905,Products!$A$2:$A$201,0)),"Unknown code"))</f>
        <v/>
      </c>
      <c r="F905" s="22" t="str">
        <f aca="false">IF($B905="","",IFERROR(INDEX(Products!$C$2:$C$201,MATCH($B905,Products!$A$2:$A$201,0)),""))</f>
        <v/>
      </c>
      <c r="G905" s="17" t="str">
        <f aca="false">IF($B905="","",IFERROR(INDEX(Products!$D$2:$D$201,MATCH($B905,Products!$A$2:$A$201,0)),0))</f>
        <v/>
      </c>
      <c r="H905" s="17" t="str">
        <f aca="false">IF($B905="","",C905*G905*(1-D905))</f>
        <v/>
      </c>
      <c r="I905" s="17" t="str">
        <f aca="false">IF($B905="","",C905*IFERROR(INDEX(Products!$E$2:$E$201,MATCH($B905,Products!$A$2:$A$201,0)),0))</f>
        <v/>
      </c>
      <c r="J905" s="17" t="str">
        <f aca="false">IF($B905="","",H905-I905)</f>
        <v/>
      </c>
      <c r="K905" s="16" t="str">
        <f aca="false">IF($A905="","",DATE(YEAR($A905),MONTH($A905),1))</f>
        <v/>
      </c>
    </row>
    <row r="906" customFormat="false" ht="15" hidden="false" customHeight="false" outlineLevel="0" collapsed="false">
      <c r="A906" s="25"/>
      <c r="B906" s="19"/>
      <c r="C906" s="19"/>
      <c r="D906" s="26"/>
      <c r="E906" s="27" t="str">
        <f aca="false">IF($B906="","",IFERROR(INDEX(Products!$B$2:$B$201,MATCH($B906,Products!$A$2:$A$201,0)),"Unknown code"))</f>
        <v/>
      </c>
      <c r="F906" s="22" t="str">
        <f aca="false">IF($B906="","",IFERROR(INDEX(Products!$C$2:$C$201,MATCH($B906,Products!$A$2:$A$201,0)),""))</f>
        <v/>
      </c>
      <c r="G906" s="17" t="str">
        <f aca="false">IF($B906="","",IFERROR(INDEX(Products!$D$2:$D$201,MATCH($B906,Products!$A$2:$A$201,0)),0))</f>
        <v/>
      </c>
      <c r="H906" s="17" t="str">
        <f aca="false">IF($B906="","",C906*G906*(1-D906))</f>
        <v/>
      </c>
      <c r="I906" s="17" t="str">
        <f aca="false">IF($B906="","",C906*IFERROR(INDEX(Products!$E$2:$E$201,MATCH($B906,Products!$A$2:$A$201,0)),0))</f>
        <v/>
      </c>
      <c r="J906" s="17" t="str">
        <f aca="false">IF($B906="","",H906-I906)</f>
        <v/>
      </c>
      <c r="K906" s="16" t="str">
        <f aca="false">IF($A906="","",DATE(YEAR($A906),MONTH($A906),1))</f>
        <v/>
      </c>
    </row>
    <row r="907" customFormat="false" ht="15" hidden="false" customHeight="false" outlineLevel="0" collapsed="false">
      <c r="A907" s="25"/>
      <c r="B907" s="19"/>
      <c r="C907" s="19"/>
      <c r="D907" s="26"/>
      <c r="E907" s="27" t="str">
        <f aca="false">IF($B907="","",IFERROR(INDEX(Products!$B$2:$B$201,MATCH($B907,Products!$A$2:$A$201,0)),"Unknown code"))</f>
        <v/>
      </c>
      <c r="F907" s="22" t="str">
        <f aca="false">IF($B907="","",IFERROR(INDEX(Products!$C$2:$C$201,MATCH($B907,Products!$A$2:$A$201,0)),""))</f>
        <v/>
      </c>
      <c r="G907" s="17" t="str">
        <f aca="false">IF($B907="","",IFERROR(INDEX(Products!$D$2:$D$201,MATCH($B907,Products!$A$2:$A$201,0)),0))</f>
        <v/>
      </c>
      <c r="H907" s="17" t="str">
        <f aca="false">IF($B907="","",C907*G907*(1-D907))</f>
        <v/>
      </c>
      <c r="I907" s="17" t="str">
        <f aca="false">IF($B907="","",C907*IFERROR(INDEX(Products!$E$2:$E$201,MATCH($B907,Products!$A$2:$A$201,0)),0))</f>
        <v/>
      </c>
      <c r="J907" s="17" t="str">
        <f aca="false">IF($B907="","",H907-I907)</f>
        <v/>
      </c>
      <c r="K907" s="16" t="str">
        <f aca="false">IF($A907="","",DATE(YEAR($A907),MONTH($A907),1))</f>
        <v/>
      </c>
    </row>
    <row r="908" customFormat="false" ht="15" hidden="false" customHeight="false" outlineLevel="0" collapsed="false">
      <c r="A908" s="25"/>
      <c r="B908" s="19"/>
      <c r="C908" s="19"/>
      <c r="D908" s="26"/>
      <c r="E908" s="27" t="str">
        <f aca="false">IF($B908="","",IFERROR(INDEX(Products!$B$2:$B$201,MATCH($B908,Products!$A$2:$A$201,0)),"Unknown code"))</f>
        <v/>
      </c>
      <c r="F908" s="22" t="str">
        <f aca="false">IF($B908="","",IFERROR(INDEX(Products!$C$2:$C$201,MATCH($B908,Products!$A$2:$A$201,0)),""))</f>
        <v/>
      </c>
      <c r="G908" s="17" t="str">
        <f aca="false">IF($B908="","",IFERROR(INDEX(Products!$D$2:$D$201,MATCH($B908,Products!$A$2:$A$201,0)),0))</f>
        <v/>
      </c>
      <c r="H908" s="17" t="str">
        <f aca="false">IF($B908="","",C908*G908*(1-D908))</f>
        <v/>
      </c>
      <c r="I908" s="17" t="str">
        <f aca="false">IF($B908="","",C908*IFERROR(INDEX(Products!$E$2:$E$201,MATCH($B908,Products!$A$2:$A$201,0)),0))</f>
        <v/>
      </c>
      <c r="J908" s="17" t="str">
        <f aca="false">IF($B908="","",H908-I908)</f>
        <v/>
      </c>
      <c r="K908" s="16" t="str">
        <f aca="false">IF($A908="","",DATE(YEAR($A908),MONTH($A908),1))</f>
        <v/>
      </c>
    </row>
    <row r="909" customFormat="false" ht="15" hidden="false" customHeight="false" outlineLevel="0" collapsed="false">
      <c r="A909" s="25"/>
      <c r="B909" s="19"/>
      <c r="C909" s="19"/>
      <c r="D909" s="26"/>
      <c r="E909" s="27" t="str">
        <f aca="false">IF($B909="","",IFERROR(INDEX(Products!$B$2:$B$201,MATCH($B909,Products!$A$2:$A$201,0)),"Unknown code"))</f>
        <v/>
      </c>
      <c r="F909" s="22" t="str">
        <f aca="false">IF($B909="","",IFERROR(INDEX(Products!$C$2:$C$201,MATCH($B909,Products!$A$2:$A$201,0)),""))</f>
        <v/>
      </c>
      <c r="G909" s="17" t="str">
        <f aca="false">IF($B909="","",IFERROR(INDEX(Products!$D$2:$D$201,MATCH($B909,Products!$A$2:$A$201,0)),0))</f>
        <v/>
      </c>
      <c r="H909" s="17" t="str">
        <f aca="false">IF($B909="","",C909*G909*(1-D909))</f>
        <v/>
      </c>
      <c r="I909" s="17" t="str">
        <f aca="false">IF($B909="","",C909*IFERROR(INDEX(Products!$E$2:$E$201,MATCH($B909,Products!$A$2:$A$201,0)),0))</f>
        <v/>
      </c>
      <c r="J909" s="17" t="str">
        <f aca="false">IF($B909="","",H909-I909)</f>
        <v/>
      </c>
      <c r="K909" s="16" t="str">
        <f aca="false">IF($A909="","",DATE(YEAR($A909),MONTH($A909),1))</f>
        <v/>
      </c>
    </row>
    <row r="910" customFormat="false" ht="15" hidden="false" customHeight="false" outlineLevel="0" collapsed="false">
      <c r="A910" s="25"/>
      <c r="B910" s="19"/>
      <c r="C910" s="19"/>
      <c r="D910" s="26"/>
      <c r="E910" s="27" t="str">
        <f aca="false">IF($B910="","",IFERROR(INDEX(Products!$B$2:$B$201,MATCH($B910,Products!$A$2:$A$201,0)),"Unknown code"))</f>
        <v/>
      </c>
      <c r="F910" s="22" t="str">
        <f aca="false">IF($B910="","",IFERROR(INDEX(Products!$C$2:$C$201,MATCH($B910,Products!$A$2:$A$201,0)),""))</f>
        <v/>
      </c>
      <c r="G910" s="17" t="str">
        <f aca="false">IF($B910="","",IFERROR(INDEX(Products!$D$2:$D$201,MATCH($B910,Products!$A$2:$A$201,0)),0))</f>
        <v/>
      </c>
      <c r="H910" s="17" t="str">
        <f aca="false">IF($B910="","",C910*G910*(1-D910))</f>
        <v/>
      </c>
      <c r="I910" s="17" t="str">
        <f aca="false">IF($B910="","",C910*IFERROR(INDEX(Products!$E$2:$E$201,MATCH($B910,Products!$A$2:$A$201,0)),0))</f>
        <v/>
      </c>
      <c r="J910" s="17" t="str">
        <f aca="false">IF($B910="","",H910-I910)</f>
        <v/>
      </c>
      <c r="K910" s="16" t="str">
        <f aca="false">IF($A910="","",DATE(YEAR($A910),MONTH($A910),1))</f>
        <v/>
      </c>
    </row>
    <row r="911" customFormat="false" ht="15" hidden="false" customHeight="false" outlineLevel="0" collapsed="false">
      <c r="A911" s="25"/>
      <c r="B911" s="19"/>
      <c r="C911" s="19"/>
      <c r="D911" s="26"/>
      <c r="E911" s="27" t="str">
        <f aca="false">IF($B911="","",IFERROR(INDEX(Products!$B$2:$B$201,MATCH($B911,Products!$A$2:$A$201,0)),"Unknown code"))</f>
        <v/>
      </c>
      <c r="F911" s="22" t="str">
        <f aca="false">IF($B911="","",IFERROR(INDEX(Products!$C$2:$C$201,MATCH($B911,Products!$A$2:$A$201,0)),""))</f>
        <v/>
      </c>
      <c r="G911" s="17" t="str">
        <f aca="false">IF($B911="","",IFERROR(INDEX(Products!$D$2:$D$201,MATCH($B911,Products!$A$2:$A$201,0)),0))</f>
        <v/>
      </c>
      <c r="H911" s="17" t="str">
        <f aca="false">IF($B911="","",C911*G911*(1-D911))</f>
        <v/>
      </c>
      <c r="I911" s="17" t="str">
        <f aca="false">IF($B911="","",C911*IFERROR(INDEX(Products!$E$2:$E$201,MATCH($B911,Products!$A$2:$A$201,0)),0))</f>
        <v/>
      </c>
      <c r="J911" s="17" t="str">
        <f aca="false">IF($B911="","",H911-I911)</f>
        <v/>
      </c>
      <c r="K911" s="16" t="str">
        <f aca="false">IF($A911="","",DATE(YEAR($A911),MONTH($A911),1))</f>
        <v/>
      </c>
    </row>
    <row r="912" customFormat="false" ht="15" hidden="false" customHeight="false" outlineLevel="0" collapsed="false">
      <c r="A912" s="25"/>
      <c r="B912" s="19"/>
      <c r="C912" s="19"/>
      <c r="D912" s="26"/>
      <c r="E912" s="27" t="str">
        <f aca="false">IF($B912="","",IFERROR(INDEX(Products!$B$2:$B$201,MATCH($B912,Products!$A$2:$A$201,0)),"Unknown code"))</f>
        <v/>
      </c>
      <c r="F912" s="22" t="str">
        <f aca="false">IF($B912="","",IFERROR(INDEX(Products!$C$2:$C$201,MATCH($B912,Products!$A$2:$A$201,0)),""))</f>
        <v/>
      </c>
      <c r="G912" s="17" t="str">
        <f aca="false">IF($B912="","",IFERROR(INDEX(Products!$D$2:$D$201,MATCH($B912,Products!$A$2:$A$201,0)),0))</f>
        <v/>
      </c>
      <c r="H912" s="17" t="str">
        <f aca="false">IF($B912="","",C912*G912*(1-D912))</f>
        <v/>
      </c>
      <c r="I912" s="17" t="str">
        <f aca="false">IF($B912="","",C912*IFERROR(INDEX(Products!$E$2:$E$201,MATCH($B912,Products!$A$2:$A$201,0)),0))</f>
        <v/>
      </c>
      <c r="J912" s="17" t="str">
        <f aca="false">IF($B912="","",H912-I912)</f>
        <v/>
      </c>
      <c r="K912" s="16" t="str">
        <f aca="false">IF($A912="","",DATE(YEAR($A912),MONTH($A912),1))</f>
        <v/>
      </c>
    </row>
    <row r="913" customFormat="false" ht="15" hidden="false" customHeight="false" outlineLevel="0" collapsed="false">
      <c r="A913" s="25"/>
      <c r="B913" s="19"/>
      <c r="C913" s="19"/>
      <c r="D913" s="26"/>
      <c r="E913" s="27" t="str">
        <f aca="false">IF($B913="","",IFERROR(INDEX(Products!$B$2:$B$201,MATCH($B913,Products!$A$2:$A$201,0)),"Unknown code"))</f>
        <v/>
      </c>
      <c r="F913" s="22" t="str">
        <f aca="false">IF($B913="","",IFERROR(INDEX(Products!$C$2:$C$201,MATCH($B913,Products!$A$2:$A$201,0)),""))</f>
        <v/>
      </c>
      <c r="G913" s="17" t="str">
        <f aca="false">IF($B913="","",IFERROR(INDEX(Products!$D$2:$D$201,MATCH($B913,Products!$A$2:$A$201,0)),0))</f>
        <v/>
      </c>
      <c r="H913" s="17" t="str">
        <f aca="false">IF($B913="","",C913*G913*(1-D913))</f>
        <v/>
      </c>
      <c r="I913" s="17" t="str">
        <f aca="false">IF($B913="","",C913*IFERROR(INDEX(Products!$E$2:$E$201,MATCH($B913,Products!$A$2:$A$201,0)),0))</f>
        <v/>
      </c>
      <c r="J913" s="17" t="str">
        <f aca="false">IF($B913="","",H913-I913)</f>
        <v/>
      </c>
      <c r="K913" s="16" t="str">
        <f aca="false">IF($A913="","",DATE(YEAR($A913),MONTH($A913),1))</f>
        <v/>
      </c>
    </row>
    <row r="914" customFormat="false" ht="15" hidden="false" customHeight="false" outlineLevel="0" collapsed="false">
      <c r="A914" s="25"/>
      <c r="B914" s="19"/>
      <c r="C914" s="19"/>
      <c r="D914" s="26"/>
      <c r="E914" s="27" t="str">
        <f aca="false">IF($B914="","",IFERROR(INDEX(Products!$B$2:$B$201,MATCH($B914,Products!$A$2:$A$201,0)),"Unknown code"))</f>
        <v/>
      </c>
      <c r="F914" s="22" t="str">
        <f aca="false">IF($B914="","",IFERROR(INDEX(Products!$C$2:$C$201,MATCH($B914,Products!$A$2:$A$201,0)),""))</f>
        <v/>
      </c>
      <c r="G914" s="17" t="str">
        <f aca="false">IF($B914="","",IFERROR(INDEX(Products!$D$2:$D$201,MATCH($B914,Products!$A$2:$A$201,0)),0))</f>
        <v/>
      </c>
      <c r="H914" s="17" t="str">
        <f aca="false">IF($B914="","",C914*G914*(1-D914))</f>
        <v/>
      </c>
      <c r="I914" s="17" t="str">
        <f aca="false">IF($B914="","",C914*IFERROR(INDEX(Products!$E$2:$E$201,MATCH($B914,Products!$A$2:$A$201,0)),0))</f>
        <v/>
      </c>
      <c r="J914" s="17" t="str">
        <f aca="false">IF($B914="","",H914-I914)</f>
        <v/>
      </c>
      <c r="K914" s="16" t="str">
        <f aca="false">IF($A914="","",DATE(YEAR($A914),MONTH($A914),1))</f>
        <v/>
      </c>
    </row>
    <row r="915" customFormat="false" ht="15" hidden="false" customHeight="false" outlineLevel="0" collapsed="false">
      <c r="A915" s="25"/>
      <c r="B915" s="19"/>
      <c r="C915" s="19"/>
      <c r="D915" s="26"/>
      <c r="E915" s="27" t="str">
        <f aca="false">IF($B915="","",IFERROR(INDEX(Products!$B$2:$B$201,MATCH($B915,Products!$A$2:$A$201,0)),"Unknown code"))</f>
        <v/>
      </c>
      <c r="F915" s="22" t="str">
        <f aca="false">IF($B915="","",IFERROR(INDEX(Products!$C$2:$C$201,MATCH($B915,Products!$A$2:$A$201,0)),""))</f>
        <v/>
      </c>
      <c r="G915" s="17" t="str">
        <f aca="false">IF($B915="","",IFERROR(INDEX(Products!$D$2:$D$201,MATCH($B915,Products!$A$2:$A$201,0)),0))</f>
        <v/>
      </c>
      <c r="H915" s="17" t="str">
        <f aca="false">IF($B915="","",C915*G915*(1-D915))</f>
        <v/>
      </c>
      <c r="I915" s="17" t="str">
        <f aca="false">IF($B915="","",C915*IFERROR(INDEX(Products!$E$2:$E$201,MATCH($B915,Products!$A$2:$A$201,0)),0))</f>
        <v/>
      </c>
      <c r="J915" s="17" t="str">
        <f aca="false">IF($B915="","",H915-I915)</f>
        <v/>
      </c>
      <c r="K915" s="16" t="str">
        <f aca="false">IF($A915="","",DATE(YEAR($A915),MONTH($A915),1))</f>
        <v/>
      </c>
    </row>
    <row r="916" customFormat="false" ht="15" hidden="false" customHeight="false" outlineLevel="0" collapsed="false">
      <c r="A916" s="25"/>
      <c r="B916" s="19"/>
      <c r="C916" s="19"/>
      <c r="D916" s="26"/>
      <c r="E916" s="27" t="str">
        <f aca="false">IF($B916="","",IFERROR(INDEX(Products!$B$2:$B$201,MATCH($B916,Products!$A$2:$A$201,0)),"Unknown code"))</f>
        <v/>
      </c>
      <c r="F916" s="22" t="str">
        <f aca="false">IF($B916="","",IFERROR(INDEX(Products!$C$2:$C$201,MATCH($B916,Products!$A$2:$A$201,0)),""))</f>
        <v/>
      </c>
      <c r="G916" s="17" t="str">
        <f aca="false">IF($B916="","",IFERROR(INDEX(Products!$D$2:$D$201,MATCH($B916,Products!$A$2:$A$201,0)),0))</f>
        <v/>
      </c>
      <c r="H916" s="17" t="str">
        <f aca="false">IF($B916="","",C916*G916*(1-D916))</f>
        <v/>
      </c>
      <c r="I916" s="17" t="str">
        <f aca="false">IF($B916="","",C916*IFERROR(INDEX(Products!$E$2:$E$201,MATCH($B916,Products!$A$2:$A$201,0)),0))</f>
        <v/>
      </c>
      <c r="J916" s="17" t="str">
        <f aca="false">IF($B916="","",H916-I916)</f>
        <v/>
      </c>
      <c r="K916" s="16" t="str">
        <f aca="false">IF($A916="","",DATE(YEAR($A916),MONTH($A916),1))</f>
        <v/>
      </c>
    </row>
    <row r="917" customFormat="false" ht="15" hidden="false" customHeight="false" outlineLevel="0" collapsed="false">
      <c r="A917" s="25"/>
      <c r="B917" s="19"/>
      <c r="C917" s="19"/>
      <c r="D917" s="26"/>
      <c r="E917" s="27" t="str">
        <f aca="false">IF($B917="","",IFERROR(INDEX(Products!$B$2:$B$201,MATCH($B917,Products!$A$2:$A$201,0)),"Unknown code"))</f>
        <v/>
      </c>
      <c r="F917" s="22" t="str">
        <f aca="false">IF($B917="","",IFERROR(INDEX(Products!$C$2:$C$201,MATCH($B917,Products!$A$2:$A$201,0)),""))</f>
        <v/>
      </c>
      <c r="G917" s="17" t="str">
        <f aca="false">IF($B917="","",IFERROR(INDEX(Products!$D$2:$D$201,MATCH($B917,Products!$A$2:$A$201,0)),0))</f>
        <v/>
      </c>
      <c r="H917" s="17" t="str">
        <f aca="false">IF($B917="","",C917*G917*(1-D917))</f>
        <v/>
      </c>
      <c r="I917" s="17" t="str">
        <f aca="false">IF($B917="","",C917*IFERROR(INDEX(Products!$E$2:$E$201,MATCH($B917,Products!$A$2:$A$201,0)),0))</f>
        <v/>
      </c>
      <c r="J917" s="17" t="str">
        <f aca="false">IF($B917="","",H917-I917)</f>
        <v/>
      </c>
      <c r="K917" s="16" t="str">
        <f aca="false">IF($A917="","",DATE(YEAR($A917),MONTH($A917),1))</f>
        <v/>
      </c>
    </row>
    <row r="918" customFormat="false" ht="15" hidden="false" customHeight="false" outlineLevel="0" collapsed="false">
      <c r="A918" s="25"/>
      <c r="B918" s="19"/>
      <c r="C918" s="19"/>
      <c r="D918" s="26"/>
      <c r="E918" s="27" t="str">
        <f aca="false">IF($B918="","",IFERROR(INDEX(Products!$B$2:$B$201,MATCH($B918,Products!$A$2:$A$201,0)),"Unknown code"))</f>
        <v/>
      </c>
      <c r="F918" s="22" t="str">
        <f aca="false">IF($B918="","",IFERROR(INDEX(Products!$C$2:$C$201,MATCH($B918,Products!$A$2:$A$201,0)),""))</f>
        <v/>
      </c>
      <c r="G918" s="17" t="str">
        <f aca="false">IF($B918="","",IFERROR(INDEX(Products!$D$2:$D$201,MATCH($B918,Products!$A$2:$A$201,0)),0))</f>
        <v/>
      </c>
      <c r="H918" s="17" t="str">
        <f aca="false">IF($B918="","",C918*G918*(1-D918))</f>
        <v/>
      </c>
      <c r="I918" s="17" t="str">
        <f aca="false">IF($B918="","",C918*IFERROR(INDEX(Products!$E$2:$E$201,MATCH($B918,Products!$A$2:$A$201,0)),0))</f>
        <v/>
      </c>
      <c r="J918" s="17" t="str">
        <f aca="false">IF($B918="","",H918-I918)</f>
        <v/>
      </c>
      <c r="K918" s="16" t="str">
        <f aca="false">IF($A918="","",DATE(YEAR($A918),MONTH($A918),1))</f>
        <v/>
      </c>
    </row>
    <row r="919" customFormat="false" ht="15" hidden="false" customHeight="false" outlineLevel="0" collapsed="false">
      <c r="A919" s="25"/>
      <c r="B919" s="19"/>
      <c r="C919" s="19"/>
      <c r="D919" s="26"/>
      <c r="E919" s="27" t="str">
        <f aca="false">IF($B919="","",IFERROR(INDEX(Products!$B$2:$B$201,MATCH($B919,Products!$A$2:$A$201,0)),"Unknown code"))</f>
        <v/>
      </c>
      <c r="F919" s="22" t="str">
        <f aca="false">IF($B919="","",IFERROR(INDEX(Products!$C$2:$C$201,MATCH($B919,Products!$A$2:$A$201,0)),""))</f>
        <v/>
      </c>
      <c r="G919" s="17" t="str">
        <f aca="false">IF($B919="","",IFERROR(INDEX(Products!$D$2:$D$201,MATCH($B919,Products!$A$2:$A$201,0)),0))</f>
        <v/>
      </c>
      <c r="H919" s="17" t="str">
        <f aca="false">IF($B919="","",C919*G919*(1-D919))</f>
        <v/>
      </c>
      <c r="I919" s="17" t="str">
        <f aca="false">IF($B919="","",C919*IFERROR(INDEX(Products!$E$2:$E$201,MATCH($B919,Products!$A$2:$A$201,0)),0))</f>
        <v/>
      </c>
      <c r="J919" s="17" t="str">
        <f aca="false">IF($B919="","",H919-I919)</f>
        <v/>
      </c>
      <c r="K919" s="16" t="str">
        <f aca="false">IF($A919="","",DATE(YEAR($A919),MONTH($A919),1))</f>
        <v/>
      </c>
    </row>
    <row r="920" customFormat="false" ht="15" hidden="false" customHeight="false" outlineLevel="0" collapsed="false">
      <c r="A920" s="25"/>
      <c r="B920" s="19"/>
      <c r="C920" s="19"/>
      <c r="D920" s="26"/>
      <c r="E920" s="27" t="str">
        <f aca="false">IF($B920="","",IFERROR(INDEX(Products!$B$2:$B$201,MATCH($B920,Products!$A$2:$A$201,0)),"Unknown code"))</f>
        <v/>
      </c>
      <c r="F920" s="22" t="str">
        <f aca="false">IF($B920="","",IFERROR(INDEX(Products!$C$2:$C$201,MATCH($B920,Products!$A$2:$A$201,0)),""))</f>
        <v/>
      </c>
      <c r="G920" s="17" t="str">
        <f aca="false">IF($B920="","",IFERROR(INDEX(Products!$D$2:$D$201,MATCH($B920,Products!$A$2:$A$201,0)),0))</f>
        <v/>
      </c>
      <c r="H920" s="17" t="str">
        <f aca="false">IF($B920="","",C920*G920*(1-D920))</f>
        <v/>
      </c>
      <c r="I920" s="17" t="str">
        <f aca="false">IF($B920="","",C920*IFERROR(INDEX(Products!$E$2:$E$201,MATCH($B920,Products!$A$2:$A$201,0)),0))</f>
        <v/>
      </c>
      <c r="J920" s="17" t="str">
        <f aca="false">IF($B920="","",H920-I920)</f>
        <v/>
      </c>
      <c r="K920" s="16" t="str">
        <f aca="false">IF($A920="","",DATE(YEAR($A920),MONTH($A920),1))</f>
        <v/>
      </c>
    </row>
    <row r="921" customFormat="false" ht="15" hidden="false" customHeight="false" outlineLevel="0" collapsed="false">
      <c r="A921" s="25"/>
      <c r="B921" s="19"/>
      <c r="C921" s="19"/>
      <c r="D921" s="26"/>
      <c r="E921" s="27" t="str">
        <f aca="false">IF($B921="","",IFERROR(INDEX(Products!$B$2:$B$201,MATCH($B921,Products!$A$2:$A$201,0)),"Unknown code"))</f>
        <v/>
      </c>
      <c r="F921" s="22" t="str">
        <f aca="false">IF($B921="","",IFERROR(INDEX(Products!$C$2:$C$201,MATCH($B921,Products!$A$2:$A$201,0)),""))</f>
        <v/>
      </c>
      <c r="G921" s="17" t="str">
        <f aca="false">IF($B921="","",IFERROR(INDEX(Products!$D$2:$D$201,MATCH($B921,Products!$A$2:$A$201,0)),0))</f>
        <v/>
      </c>
      <c r="H921" s="17" t="str">
        <f aca="false">IF($B921="","",C921*G921*(1-D921))</f>
        <v/>
      </c>
      <c r="I921" s="17" t="str">
        <f aca="false">IF($B921="","",C921*IFERROR(INDEX(Products!$E$2:$E$201,MATCH($B921,Products!$A$2:$A$201,0)),0))</f>
        <v/>
      </c>
      <c r="J921" s="17" t="str">
        <f aca="false">IF($B921="","",H921-I921)</f>
        <v/>
      </c>
      <c r="K921" s="16" t="str">
        <f aca="false">IF($A921="","",DATE(YEAR($A921),MONTH($A921),1))</f>
        <v/>
      </c>
    </row>
    <row r="922" customFormat="false" ht="15" hidden="false" customHeight="false" outlineLevel="0" collapsed="false">
      <c r="A922" s="25"/>
      <c r="B922" s="19"/>
      <c r="C922" s="19"/>
      <c r="D922" s="26"/>
      <c r="E922" s="27" t="str">
        <f aca="false">IF($B922="","",IFERROR(INDEX(Products!$B$2:$B$201,MATCH($B922,Products!$A$2:$A$201,0)),"Unknown code"))</f>
        <v/>
      </c>
      <c r="F922" s="22" t="str">
        <f aca="false">IF($B922="","",IFERROR(INDEX(Products!$C$2:$C$201,MATCH($B922,Products!$A$2:$A$201,0)),""))</f>
        <v/>
      </c>
      <c r="G922" s="17" t="str">
        <f aca="false">IF($B922="","",IFERROR(INDEX(Products!$D$2:$D$201,MATCH($B922,Products!$A$2:$A$201,0)),0))</f>
        <v/>
      </c>
      <c r="H922" s="17" t="str">
        <f aca="false">IF($B922="","",C922*G922*(1-D922))</f>
        <v/>
      </c>
      <c r="I922" s="17" t="str">
        <f aca="false">IF($B922="","",C922*IFERROR(INDEX(Products!$E$2:$E$201,MATCH($B922,Products!$A$2:$A$201,0)),0))</f>
        <v/>
      </c>
      <c r="J922" s="17" t="str">
        <f aca="false">IF($B922="","",H922-I922)</f>
        <v/>
      </c>
      <c r="K922" s="16" t="str">
        <f aca="false">IF($A922="","",DATE(YEAR($A922),MONTH($A922),1))</f>
        <v/>
      </c>
    </row>
    <row r="923" customFormat="false" ht="15" hidden="false" customHeight="false" outlineLevel="0" collapsed="false">
      <c r="A923" s="25"/>
      <c r="B923" s="19"/>
      <c r="C923" s="19"/>
      <c r="D923" s="26"/>
      <c r="E923" s="27" t="str">
        <f aca="false">IF($B923="","",IFERROR(INDEX(Products!$B$2:$B$201,MATCH($B923,Products!$A$2:$A$201,0)),"Unknown code"))</f>
        <v/>
      </c>
      <c r="F923" s="22" t="str">
        <f aca="false">IF($B923="","",IFERROR(INDEX(Products!$C$2:$C$201,MATCH($B923,Products!$A$2:$A$201,0)),""))</f>
        <v/>
      </c>
      <c r="G923" s="17" t="str">
        <f aca="false">IF($B923="","",IFERROR(INDEX(Products!$D$2:$D$201,MATCH($B923,Products!$A$2:$A$201,0)),0))</f>
        <v/>
      </c>
      <c r="H923" s="17" t="str">
        <f aca="false">IF($B923="","",C923*G923*(1-D923))</f>
        <v/>
      </c>
      <c r="I923" s="17" t="str">
        <f aca="false">IF($B923="","",C923*IFERROR(INDEX(Products!$E$2:$E$201,MATCH($B923,Products!$A$2:$A$201,0)),0))</f>
        <v/>
      </c>
      <c r="J923" s="17" t="str">
        <f aca="false">IF($B923="","",H923-I923)</f>
        <v/>
      </c>
      <c r="K923" s="16" t="str">
        <f aca="false">IF($A923="","",DATE(YEAR($A923),MONTH($A923),1))</f>
        <v/>
      </c>
    </row>
    <row r="924" customFormat="false" ht="15" hidden="false" customHeight="false" outlineLevel="0" collapsed="false">
      <c r="A924" s="25"/>
      <c r="B924" s="19"/>
      <c r="C924" s="19"/>
      <c r="D924" s="26"/>
      <c r="E924" s="27" t="str">
        <f aca="false">IF($B924="","",IFERROR(INDEX(Products!$B$2:$B$201,MATCH($B924,Products!$A$2:$A$201,0)),"Unknown code"))</f>
        <v/>
      </c>
      <c r="F924" s="22" t="str">
        <f aca="false">IF($B924="","",IFERROR(INDEX(Products!$C$2:$C$201,MATCH($B924,Products!$A$2:$A$201,0)),""))</f>
        <v/>
      </c>
      <c r="G924" s="17" t="str">
        <f aca="false">IF($B924="","",IFERROR(INDEX(Products!$D$2:$D$201,MATCH($B924,Products!$A$2:$A$201,0)),0))</f>
        <v/>
      </c>
      <c r="H924" s="17" t="str">
        <f aca="false">IF($B924="","",C924*G924*(1-D924))</f>
        <v/>
      </c>
      <c r="I924" s="17" t="str">
        <f aca="false">IF($B924="","",C924*IFERROR(INDEX(Products!$E$2:$E$201,MATCH($B924,Products!$A$2:$A$201,0)),0))</f>
        <v/>
      </c>
      <c r="J924" s="17" t="str">
        <f aca="false">IF($B924="","",H924-I924)</f>
        <v/>
      </c>
      <c r="K924" s="16" t="str">
        <f aca="false">IF($A924="","",DATE(YEAR($A924),MONTH($A924),1))</f>
        <v/>
      </c>
    </row>
    <row r="925" customFormat="false" ht="15" hidden="false" customHeight="false" outlineLevel="0" collapsed="false">
      <c r="A925" s="25"/>
      <c r="B925" s="19"/>
      <c r="C925" s="19"/>
      <c r="D925" s="26"/>
      <c r="E925" s="27" t="str">
        <f aca="false">IF($B925="","",IFERROR(INDEX(Products!$B$2:$B$201,MATCH($B925,Products!$A$2:$A$201,0)),"Unknown code"))</f>
        <v/>
      </c>
      <c r="F925" s="22" t="str">
        <f aca="false">IF($B925="","",IFERROR(INDEX(Products!$C$2:$C$201,MATCH($B925,Products!$A$2:$A$201,0)),""))</f>
        <v/>
      </c>
      <c r="G925" s="17" t="str">
        <f aca="false">IF($B925="","",IFERROR(INDEX(Products!$D$2:$D$201,MATCH($B925,Products!$A$2:$A$201,0)),0))</f>
        <v/>
      </c>
      <c r="H925" s="17" t="str">
        <f aca="false">IF($B925="","",C925*G925*(1-D925))</f>
        <v/>
      </c>
      <c r="I925" s="17" t="str">
        <f aca="false">IF($B925="","",C925*IFERROR(INDEX(Products!$E$2:$E$201,MATCH($B925,Products!$A$2:$A$201,0)),0))</f>
        <v/>
      </c>
      <c r="J925" s="17" t="str">
        <f aca="false">IF($B925="","",H925-I925)</f>
        <v/>
      </c>
      <c r="K925" s="16" t="str">
        <f aca="false">IF($A925="","",DATE(YEAR($A925),MONTH($A925),1))</f>
        <v/>
      </c>
    </row>
    <row r="926" customFormat="false" ht="15" hidden="false" customHeight="false" outlineLevel="0" collapsed="false">
      <c r="A926" s="25"/>
      <c r="B926" s="19"/>
      <c r="C926" s="19"/>
      <c r="D926" s="26"/>
      <c r="E926" s="27" t="str">
        <f aca="false">IF($B926="","",IFERROR(INDEX(Products!$B$2:$B$201,MATCH($B926,Products!$A$2:$A$201,0)),"Unknown code"))</f>
        <v/>
      </c>
      <c r="F926" s="22" t="str">
        <f aca="false">IF($B926="","",IFERROR(INDEX(Products!$C$2:$C$201,MATCH($B926,Products!$A$2:$A$201,0)),""))</f>
        <v/>
      </c>
      <c r="G926" s="17" t="str">
        <f aca="false">IF($B926="","",IFERROR(INDEX(Products!$D$2:$D$201,MATCH($B926,Products!$A$2:$A$201,0)),0))</f>
        <v/>
      </c>
      <c r="H926" s="17" t="str">
        <f aca="false">IF($B926="","",C926*G926*(1-D926))</f>
        <v/>
      </c>
      <c r="I926" s="17" t="str">
        <f aca="false">IF($B926="","",C926*IFERROR(INDEX(Products!$E$2:$E$201,MATCH($B926,Products!$A$2:$A$201,0)),0))</f>
        <v/>
      </c>
      <c r="J926" s="17" t="str">
        <f aca="false">IF($B926="","",H926-I926)</f>
        <v/>
      </c>
      <c r="K926" s="16" t="str">
        <f aca="false">IF($A926="","",DATE(YEAR($A926),MONTH($A926),1))</f>
        <v/>
      </c>
    </row>
    <row r="927" customFormat="false" ht="15" hidden="false" customHeight="false" outlineLevel="0" collapsed="false">
      <c r="A927" s="25"/>
      <c r="B927" s="19"/>
      <c r="C927" s="19"/>
      <c r="D927" s="26"/>
      <c r="E927" s="27" t="str">
        <f aca="false">IF($B927="","",IFERROR(INDEX(Products!$B$2:$B$201,MATCH($B927,Products!$A$2:$A$201,0)),"Unknown code"))</f>
        <v/>
      </c>
      <c r="F927" s="22" t="str">
        <f aca="false">IF($B927="","",IFERROR(INDEX(Products!$C$2:$C$201,MATCH($B927,Products!$A$2:$A$201,0)),""))</f>
        <v/>
      </c>
      <c r="G927" s="17" t="str">
        <f aca="false">IF($B927="","",IFERROR(INDEX(Products!$D$2:$D$201,MATCH($B927,Products!$A$2:$A$201,0)),0))</f>
        <v/>
      </c>
      <c r="H927" s="17" t="str">
        <f aca="false">IF($B927="","",C927*G927*(1-D927))</f>
        <v/>
      </c>
      <c r="I927" s="17" t="str">
        <f aca="false">IF($B927="","",C927*IFERROR(INDEX(Products!$E$2:$E$201,MATCH($B927,Products!$A$2:$A$201,0)),0))</f>
        <v/>
      </c>
      <c r="J927" s="17" t="str">
        <f aca="false">IF($B927="","",H927-I927)</f>
        <v/>
      </c>
      <c r="K927" s="16" t="str">
        <f aca="false">IF($A927="","",DATE(YEAR($A927),MONTH($A927),1))</f>
        <v/>
      </c>
    </row>
    <row r="928" customFormat="false" ht="15" hidden="false" customHeight="false" outlineLevel="0" collapsed="false">
      <c r="A928" s="25"/>
      <c r="B928" s="19"/>
      <c r="C928" s="19"/>
      <c r="D928" s="26"/>
      <c r="E928" s="27" t="str">
        <f aca="false">IF($B928="","",IFERROR(INDEX(Products!$B$2:$B$201,MATCH($B928,Products!$A$2:$A$201,0)),"Unknown code"))</f>
        <v/>
      </c>
      <c r="F928" s="22" t="str">
        <f aca="false">IF($B928="","",IFERROR(INDEX(Products!$C$2:$C$201,MATCH($B928,Products!$A$2:$A$201,0)),""))</f>
        <v/>
      </c>
      <c r="G928" s="17" t="str">
        <f aca="false">IF($B928="","",IFERROR(INDEX(Products!$D$2:$D$201,MATCH($B928,Products!$A$2:$A$201,0)),0))</f>
        <v/>
      </c>
      <c r="H928" s="17" t="str">
        <f aca="false">IF($B928="","",C928*G928*(1-D928))</f>
        <v/>
      </c>
      <c r="I928" s="17" t="str">
        <f aca="false">IF($B928="","",C928*IFERROR(INDEX(Products!$E$2:$E$201,MATCH($B928,Products!$A$2:$A$201,0)),0))</f>
        <v/>
      </c>
      <c r="J928" s="17" t="str">
        <f aca="false">IF($B928="","",H928-I928)</f>
        <v/>
      </c>
      <c r="K928" s="16" t="str">
        <f aca="false">IF($A928="","",DATE(YEAR($A928),MONTH($A928),1))</f>
        <v/>
      </c>
    </row>
    <row r="929" customFormat="false" ht="15" hidden="false" customHeight="false" outlineLevel="0" collapsed="false">
      <c r="A929" s="25"/>
      <c r="B929" s="19"/>
      <c r="C929" s="19"/>
      <c r="D929" s="26"/>
      <c r="E929" s="27" t="str">
        <f aca="false">IF($B929="","",IFERROR(INDEX(Products!$B$2:$B$201,MATCH($B929,Products!$A$2:$A$201,0)),"Unknown code"))</f>
        <v/>
      </c>
      <c r="F929" s="22" t="str">
        <f aca="false">IF($B929="","",IFERROR(INDEX(Products!$C$2:$C$201,MATCH($B929,Products!$A$2:$A$201,0)),""))</f>
        <v/>
      </c>
      <c r="G929" s="17" t="str">
        <f aca="false">IF($B929="","",IFERROR(INDEX(Products!$D$2:$D$201,MATCH($B929,Products!$A$2:$A$201,0)),0))</f>
        <v/>
      </c>
      <c r="H929" s="17" t="str">
        <f aca="false">IF($B929="","",C929*G929*(1-D929))</f>
        <v/>
      </c>
      <c r="I929" s="17" t="str">
        <f aca="false">IF($B929="","",C929*IFERROR(INDEX(Products!$E$2:$E$201,MATCH($B929,Products!$A$2:$A$201,0)),0))</f>
        <v/>
      </c>
      <c r="J929" s="17" t="str">
        <f aca="false">IF($B929="","",H929-I929)</f>
        <v/>
      </c>
      <c r="K929" s="16" t="str">
        <f aca="false">IF($A929="","",DATE(YEAR($A929),MONTH($A929),1))</f>
        <v/>
      </c>
    </row>
    <row r="930" customFormat="false" ht="15" hidden="false" customHeight="false" outlineLevel="0" collapsed="false">
      <c r="A930" s="25"/>
      <c r="B930" s="19"/>
      <c r="C930" s="19"/>
      <c r="D930" s="26"/>
      <c r="E930" s="27" t="str">
        <f aca="false">IF($B930="","",IFERROR(INDEX(Products!$B$2:$B$201,MATCH($B930,Products!$A$2:$A$201,0)),"Unknown code"))</f>
        <v/>
      </c>
      <c r="F930" s="22" t="str">
        <f aca="false">IF($B930="","",IFERROR(INDEX(Products!$C$2:$C$201,MATCH($B930,Products!$A$2:$A$201,0)),""))</f>
        <v/>
      </c>
      <c r="G930" s="17" t="str">
        <f aca="false">IF($B930="","",IFERROR(INDEX(Products!$D$2:$D$201,MATCH($B930,Products!$A$2:$A$201,0)),0))</f>
        <v/>
      </c>
      <c r="H930" s="17" t="str">
        <f aca="false">IF($B930="","",C930*G930*(1-D930))</f>
        <v/>
      </c>
      <c r="I930" s="17" t="str">
        <f aca="false">IF($B930="","",C930*IFERROR(INDEX(Products!$E$2:$E$201,MATCH($B930,Products!$A$2:$A$201,0)),0))</f>
        <v/>
      </c>
      <c r="J930" s="17" t="str">
        <f aca="false">IF($B930="","",H930-I930)</f>
        <v/>
      </c>
      <c r="K930" s="16" t="str">
        <f aca="false">IF($A930="","",DATE(YEAR($A930),MONTH($A930),1))</f>
        <v/>
      </c>
    </row>
    <row r="931" customFormat="false" ht="15" hidden="false" customHeight="false" outlineLevel="0" collapsed="false">
      <c r="A931" s="25"/>
      <c r="B931" s="19"/>
      <c r="C931" s="19"/>
      <c r="D931" s="26"/>
      <c r="E931" s="27" t="str">
        <f aca="false">IF($B931="","",IFERROR(INDEX(Products!$B$2:$B$201,MATCH($B931,Products!$A$2:$A$201,0)),"Unknown code"))</f>
        <v/>
      </c>
      <c r="F931" s="22" t="str">
        <f aca="false">IF($B931="","",IFERROR(INDEX(Products!$C$2:$C$201,MATCH($B931,Products!$A$2:$A$201,0)),""))</f>
        <v/>
      </c>
      <c r="G931" s="17" t="str">
        <f aca="false">IF($B931="","",IFERROR(INDEX(Products!$D$2:$D$201,MATCH($B931,Products!$A$2:$A$201,0)),0))</f>
        <v/>
      </c>
      <c r="H931" s="17" t="str">
        <f aca="false">IF($B931="","",C931*G931*(1-D931))</f>
        <v/>
      </c>
      <c r="I931" s="17" t="str">
        <f aca="false">IF($B931="","",C931*IFERROR(INDEX(Products!$E$2:$E$201,MATCH($B931,Products!$A$2:$A$201,0)),0))</f>
        <v/>
      </c>
      <c r="J931" s="17" t="str">
        <f aca="false">IF($B931="","",H931-I931)</f>
        <v/>
      </c>
      <c r="K931" s="16" t="str">
        <f aca="false">IF($A931="","",DATE(YEAR($A931),MONTH($A931),1))</f>
        <v/>
      </c>
    </row>
    <row r="932" customFormat="false" ht="15" hidden="false" customHeight="false" outlineLevel="0" collapsed="false">
      <c r="A932" s="25"/>
      <c r="B932" s="19"/>
      <c r="C932" s="19"/>
      <c r="D932" s="26"/>
      <c r="E932" s="27" t="str">
        <f aca="false">IF($B932="","",IFERROR(INDEX(Products!$B$2:$B$201,MATCH($B932,Products!$A$2:$A$201,0)),"Unknown code"))</f>
        <v/>
      </c>
      <c r="F932" s="22" t="str">
        <f aca="false">IF($B932="","",IFERROR(INDEX(Products!$C$2:$C$201,MATCH($B932,Products!$A$2:$A$201,0)),""))</f>
        <v/>
      </c>
      <c r="G932" s="17" t="str">
        <f aca="false">IF($B932="","",IFERROR(INDEX(Products!$D$2:$D$201,MATCH($B932,Products!$A$2:$A$201,0)),0))</f>
        <v/>
      </c>
      <c r="H932" s="17" t="str">
        <f aca="false">IF($B932="","",C932*G932*(1-D932))</f>
        <v/>
      </c>
      <c r="I932" s="17" t="str">
        <f aca="false">IF($B932="","",C932*IFERROR(INDEX(Products!$E$2:$E$201,MATCH($B932,Products!$A$2:$A$201,0)),0))</f>
        <v/>
      </c>
      <c r="J932" s="17" t="str">
        <f aca="false">IF($B932="","",H932-I932)</f>
        <v/>
      </c>
      <c r="K932" s="16" t="str">
        <f aca="false">IF($A932="","",DATE(YEAR($A932),MONTH($A932),1))</f>
        <v/>
      </c>
    </row>
    <row r="933" customFormat="false" ht="15" hidden="false" customHeight="false" outlineLevel="0" collapsed="false">
      <c r="A933" s="25"/>
      <c r="B933" s="19"/>
      <c r="C933" s="19"/>
      <c r="D933" s="26"/>
      <c r="E933" s="27" t="str">
        <f aca="false">IF($B933="","",IFERROR(INDEX(Products!$B$2:$B$201,MATCH($B933,Products!$A$2:$A$201,0)),"Unknown code"))</f>
        <v/>
      </c>
      <c r="F933" s="22" t="str">
        <f aca="false">IF($B933="","",IFERROR(INDEX(Products!$C$2:$C$201,MATCH($B933,Products!$A$2:$A$201,0)),""))</f>
        <v/>
      </c>
      <c r="G933" s="17" t="str">
        <f aca="false">IF($B933="","",IFERROR(INDEX(Products!$D$2:$D$201,MATCH($B933,Products!$A$2:$A$201,0)),0))</f>
        <v/>
      </c>
      <c r="H933" s="17" t="str">
        <f aca="false">IF($B933="","",C933*G933*(1-D933))</f>
        <v/>
      </c>
      <c r="I933" s="17" t="str">
        <f aca="false">IF($B933="","",C933*IFERROR(INDEX(Products!$E$2:$E$201,MATCH($B933,Products!$A$2:$A$201,0)),0))</f>
        <v/>
      </c>
      <c r="J933" s="17" t="str">
        <f aca="false">IF($B933="","",H933-I933)</f>
        <v/>
      </c>
      <c r="K933" s="16" t="str">
        <f aca="false">IF($A933="","",DATE(YEAR($A933),MONTH($A933),1))</f>
        <v/>
      </c>
    </row>
    <row r="934" customFormat="false" ht="15" hidden="false" customHeight="false" outlineLevel="0" collapsed="false">
      <c r="A934" s="25"/>
      <c r="B934" s="19"/>
      <c r="C934" s="19"/>
      <c r="D934" s="26"/>
      <c r="E934" s="27" t="str">
        <f aca="false">IF($B934="","",IFERROR(INDEX(Products!$B$2:$B$201,MATCH($B934,Products!$A$2:$A$201,0)),"Unknown code"))</f>
        <v/>
      </c>
      <c r="F934" s="22" t="str">
        <f aca="false">IF($B934="","",IFERROR(INDEX(Products!$C$2:$C$201,MATCH($B934,Products!$A$2:$A$201,0)),""))</f>
        <v/>
      </c>
      <c r="G934" s="17" t="str">
        <f aca="false">IF($B934="","",IFERROR(INDEX(Products!$D$2:$D$201,MATCH($B934,Products!$A$2:$A$201,0)),0))</f>
        <v/>
      </c>
      <c r="H934" s="17" t="str">
        <f aca="false">IF($B934="","",C934*G934*(1-D934))</f>
        <v/>
      </c>
      <c r="I934" s="17" t="str">
        <f aca="false">IF($B934="","",C934*IFERROR(INDEX(Products!$E$2:$E$201,MATCH($B934,Products!$A$2:$A$201,0)),0))</f>
        <v/>
      </c>
      <c r="J934" s="17" t="str">
        <f aca="false">IF($B934="","",H934-I934)</f>
        <v/>
      </c>
      <c r="K934" s="16" t="str">
        <f aca="false">IF($A934="","",DATE(YEAR($A934),MONTH($A934),1))</f>
        <v/>
      </c>
    </row>
    <row r="935" customFormat="false" ht="15" hidden="false" customHeight="false" outlineLevel="0" collapsed="false">
      <c r="A935" s="25"/>
      <c r="B935" s="19"/>
      <c r="C935" s="19"/>
      <c r="D935" s="26"/>
      <c r="E935" s="27" t="str">
        <f aca="false">IF($B935="","",IFERROR(INDEX(Products!$B$2:$B$201,MATCH($B935,Products!$A$2:$A$201,0)),"Unknown code"))</f>
        <v/>
      </c>
      <c r="F935" s="22" t="str">
        <f aca="false">IF($B935="","",IFERROR(INDEX(Products!$C$2:$C$201,MATCH($B935,Products!$A$2:$A$201,0)),""))</f>
        <v/>
      </c>
      <c r="G935" s="17" t="str">
        <f aca="false">IF($B935="","",IFERROR(INDEX(Products!$D$2:$D$201,MATCH($B935,Products!$A$2:$A$201,0)),0))</f>
        <v/>
      </c>
      <c r="H935" s="17" t="str">
        <f aca="false">IF($B935="","",C935*G935*(1-D935))</f>
        <v/>
      </c>
      <c r="I935" s="17" t="str">
        <f aca="false">IF($B935="","",C935*IFERROR(INDEX(Products!$E$2:$E$201,MATCH($B935,Products!$A$2:$A$201,0)),0))</f>
        <v/>
      </c>
      <c r="J935" s="17" t="str">
        <f aca="false">IF($B935="","",H935-I935)</f>
        <v/>
      </c>
      <c r="K935" s="16" t="str">
        <f aca="false">IF($A935="","",DATE(YEAR($A935),MONTH($A935),1))</f>
        <v/>
      </c>
    </row>
    <row r="936" customFormat="false" ht="15" hidden="false" customHeight="false" outlineLevel="0" collapsed="false">
      <c r="A936" s="25"/>
      <c r="B936" s="19"/>
      <c r="C936" s="19"/>
      <c r="D936" s="26"/>
      <c r="E936" s="27" t="str">
        <f aca="false">IF($B936="","",IFERROR(INDEX(Products!$B$2:$B$201,MATCH($B936,Products!$A$2:$A$201,0)),"Unknown code"))</f>
        <v/>
      </c>
      <c r="F936" s="22" t="str">
        <f aca="false">IF($B936="","",IFERROR(INDEX(Products!$C$2:$C$201,MATCH($B936,Products!$A$2:$A$201,0)),""))</f>
        <v/>
      </c>
      <c r="G936" s="17" t="str">
        <f aca="false">IF($B936="","",IFERROR(INDEX(Products!$D$2:$D$201,MATCH($B936,Products!$A$2:$A$201,0)),0))</f>
        <v/>
      </c>
      <c r="H936" s="17" t="str">
        <f aca="false">IF($B936="","",C936*G936*(1-D936))</f>
        <v/>
      </c>
      <c r="I936" s="17" t="str">
        <f aca="false">IF($B936="","",C936*IFERROR(INDEX(Products!$E$2:$E$201,MATCH($B936,Products!$A$2:$A$201,0)),0))</f>
        <v/>
      </c>
      <c r="J936" s="17" t="str">
        <f aca="false">IF($B936="","",H936-I936)</f>
        <v/>
      </c>
      <c r="K936" s="16" t="str">
        <f aca="false">IF($A936="","",DATE(YEAR($A936),MONTH($A936),1))</f>
        <v/>
      </c>
    </row>
    <row r="937" customFormat="false" ht="15" hidden="false" customHeight="false" outlineLevel="0" collapsed="false">
      <c r="A937" s="25"/>
      <c r="B937" s="19"/>
      <c r="C937" s="19"/>
      <c r="D937" s="26"/>
      <c r="E937" s="27" t="str">
        <f aca="false">IF($B937="","",IFERROR(INDEX(Products!$B$2:$B$201,MATCH($B937,Products!$A$2:$A$201,0)),"Unknown code"))</f>
        <v/>
      </c>
      <c r="F937" s="22" t="str">
        <f aca="false">IF($B937="","",IFERROR(INDEX(Products!$C$2:$C$201,MATCH($B937,Products!$A$2:$A$201,0)),""))</f>
        <v/>
      </c>
      <c r="G937" s="17" t="str">
        <f aca="false">IF($B937="","",IFERROR(INDEX(Products!$D$2:$D$201,MATCH($B937,Products!$A$2:$A$201,0)),0))</f>
        <v/>
      </c>
      <c r="H937" s="17" t="str">
        <f aca="false">IF($B937="","",C937*G937*(1-D937))</f>
        <v/>
      </c>
      <c r="I937" s="17" t="str">
        <f aca="false">IF($B937="","",C937*IFERROR(INDEX(Products!$E$2:$E$201,MATCH($B937,Products!$A$2:$A$201,0)),0))</f>
        <v/>
      </c>
      <c r="J937" s="17" t="str">
        <f aca="false">IF($B937="","",H937-I937)</f>
        <v/>
      </c>
      <c r="K937" s="16" t="str">
        <f aca="false">IF($A937="","",DATE(YEAR($A937),MONTH($A937),1))</f>
        <v/>
      </c>
    </row>
    <row r="938" customFormat="false" ht="15" hidden="false" customHeight="false" outlineLevel="0" collapsed="false">
      <c r="A938" s="25"/>
      <c r="B938" s="19"/>
      <c r="C938" s="19"/>
      <c r="D938" s="26"/>
      <c r="E938" s="27" t="str">
        <f aca="false">IF($B938="","",IFERROR(INDEX(Products!$B$2:$B$201,MATCH($B938,Products!$A$2:$A$201,0)),"Unknown code"))</f>
        <v/>
      </c>
      <c r="F938" s="22" t="str">
        <f aca="false">IF($B938="","",IFERROR(INDEX(Products!$C$2:$C$201,MATCH($B938,Products!$A$2:$A$201,0)),""))</f>
        <v/>
      </c>
      <c r="G938" s="17" t="str">
        <f aca="false">IF($B938="","",IFERROR(INDEX(Products!$D$2:$D$201,MATCH($B938,Products!$A$2:$A$201,0)),0))</f>
        <v/>
      </c>
      <c r="H938" s="17" t="str">
        <f aca="false">IF($B938="","",C938*G938*(1-D938))</f>
        <v/>
      </c>
      <c r="I938" s="17" t="str">
        <f aca="false">IF($B938="","",C938*IFERROR(INDEX(Products!$E$2:$E$201,MATCH($B938,Products!$A$2:$A$201,0)),0))</f>
        <v/>
      </c>
      <c r="J938" s="17" t="str">
        <f aca="false">IF($B938="","",H938-I938)</f>
        <v/>
      </c>
      <c r="K938" s="16" t="str">
        <f aca="false">IF($A938="","",DATE(YEAR($A938),MONTH($A938),1))</f>
        <v/>
      </c>
    </row>
    <row r="939" customFormat="false" ht="15" hidden="false" customHeight="false" outlineLevel="0" collapsed="false">
      <c r="A939" s="25"/>
      <c r="B939" s="19"/>
      <c r="C939" s="19"/>
      <c r="D939" s="26"/>
      <c r="E939" s="27" t="str">
        <f aca="false">IF($B939="","",IFERROR(INDEX(Products!$B$2:$B$201,MATCH($B939,Products!$A$2:$A$201,0)),"Unknown code"))</f>
        <v/>
      </c>
      <c r="F939" s="22" t="str">
        <f aca="false">IF($B939="","",IFERROR(INDEX(Products!$C$2:$C$201,MATCH($B939,Products!$A$2:$A$201,0)),""))</f>
        <v/>
      </c>
      <c r="G939" s="17" t="str">
        <f aca="false">IF($B939="","",IFERROR(INDEX(Products!$D$2:$D$201,MATCH($B939,Products!$A$2:$A$201,0)),0))</f>
        <v/>
      </c>
      <c r="H939" s="17" t="str">
        <f aca="false">IF($B939="","",C939*G939*(1-D939))</f>
        <v/>
      </c>
      <c r="I939" s="17" t="str">
        <f aca="false">IF($B939="","",C939*IFERROR(INDEX(Products!$E$2:$E$201,MATCH($B939,Products!$A$2:$A$201,0)),0))</f>
        <v/>
      </c>
      <c r="J939" s="17" t="str">
        <f aca="false">IF($B939="","",H939-I939)</f>
        <v/>
      </c>
      <c r="K939" s="16" t="str">
        <f aca="false">IF($A939="","",DATE(YEAR($A939),MONTH($A939),1))</f>
        <v/>
      </c>
    </row>
    <row r="940" customFormat="false" ht="15" hidden="false" customHeight="false" outlineLevel="0" collapsed="false">
      <c r="A940" s="25"/>
      <c r="B940" s="19"/>
      <c r="C940" s="19"/>
      <c r="D940" s="26"/>
      <c r="E940" s="27" t="str">
        <f aca="false">IF($B940="","",IFERROR(INDEX(Products!$B$2:$B$201,MATCH($B940,Products!$A$2:$A$201,0)),"Unknown code"))</f>
        <v/>
      </c>
      <c r="F940" s="22" t="str">
        <f aca="false">IF($B940="","",IFERROR(INDEX(Products!$C$2:$C$201,MATCH($B940,Products!$A$2:$A$201,0)),""))</f>
        <v/>
      </c>
      <c r="G940" s="17" t="str">
        <f aca="false">IF($B940="","",IFERROR(INDEX(Products!$D$2:$D$201,MATCH($B940,Products!$A$2:$A$201,0)),0))</f>
        <v/>
      </c>
      <c r="H940" s="17" t="str">
        <f aca="false">IF($B940="","",C940*G940*(1-D940))</f>
        <v/>
      </c>
      <c r="I940" s="17" t="str">
        <f aca="false">IF($B940="","",C940*IFERROR(INDEX(Products!$E$2:$E$201,MATCH($B940,Products!$A$2:$A$201,0)),0))</f>
        <v/>
      </c>
      <c r="J940" s="17" t="str">
        <f aca="false">IF($B940="","",H940-I940)</f>
        <v/>
      </c>
      <c r="K940" s="16" t="str">
        <f aca="false">IF($A940="","",DATE(YEAR($A940),MONTH($A940),1))</f>
        <v/>
      </c>
    </row>
    <row r="941" customFormat="false" ht="15" hidden="false" customHeight="false" outlineLevel="0" collapsed="false">
      <c r="A941" s="25"/>
      <c r="B941" s="19"/>
      <c r="C941" s="19"/>
      <c r="D941" s="26"/>
      <c r="E941" s="27" t="str">
        <f aca="false">IF($B941="","",IFERROR(INDEX(Products!$B$2:$B$201,MATCH($B941,Products!$A$2:$A$201,0)),"Unknown code"))</f>
        <v/>
      </c>
      <c r="F941" s="22" t="str">
        <f aca="false">IF($B941="","",IFERROR(INDEX(Products!$C$2:$C$201,MATCH($B941,Products!$A$2:$A$201,0)),""))</f>
        <v/>
      </c>
      <c r="G941" s="17" t="str">
        <f aca="false">IF($B941="","",IFERROR(INDEX(Products!$D$2:$D$201,MATCH($B941,Products!$A$2:$A$201,0)),0))</f>
        <v/>
      </c>
      <c r="H941" s="17" t="str">
        <f aca="false">IF($B941="","",C941*G941*(1-D941))</f>
        <v/>
      </c>
      <c r="I941" s="17" t="str">
        <f aca="false">IF($B941="","",C941*IFERROR(INDEX(Products!$E$2:$E$201,MATCH($B941,Products!$A$2:$A$201,0)),0))</f>
        <v/>
      </c>
      <c r="J941" s="17" t="str">
        <f aca="false">IF($B941="","",H941-I941)</f>
        <v/>
      </c>
      <c r="K941" s="16" t="str">
        <f aca="false">IF($A941="","",DATE(YEAR($A941),MONTH($A941),1))</f>
        <v/>
      </c>
    </row>
    <row r="942" customFormat="false" ht="15" hidden="false" customHeight="false" outlineLevel="0" collapsed="false">
      <c r="A942" s="25"/>
      <c r="B942" s="19"/>
      <c r="C942" s="19"/>
      <c r="D942" s="26"/>
      <c r="E942" s="27" t="str">
        <f aca="false">IF($B942="","",IFERROR(INDEX(Products!$B$2:$B$201,MATCH($B942,Products!$A$2:$A$201,0)),"Unknown code"))</f>
        <v/>
      </c>
      <c r="F942" s="22" t="str">
        <f aca="false">IF($B942="","",IFERROR(INDEX(Products!$C$2:$C$201,MATCH($B942,Products!$A$2:$A$201,0)),""))</f>
        <v/>
      </c>
      <c r="G942" s="17" t="str">
        <f aca="false">IF($B942="","",IFERROR(INDEX(Products!$D$2:$D$201,MATCH($B942,Products!$A$2:$A$201,0)),0))</f>
        <v/>
      </c>
      <c r="H942" s="17" t="str">
        <f aca="false">IF($B942="","",C942*G942*(1-D942))</f>
        <v/>
      </c>
      <c r="I942" s="17" t="str">
        <f aca="false">IF($B942="","",C942*IFERROR(INDEX(Products!$E$2:$E$201,MATCH($B942,Products!$A$2:$A$201,0)),0))</f>
        <v/>
      </c>
      <c r="J942" s="17" t="str">
        <f aca="false">IF($B942="","",H942-I942)</f>
        <v/>
      </c>
      <c r="K942" s="16" t="str">
        <f aca="false">IF($A942="","",DATE(YEAR($A942),MONTH($A942),1))</f>
        <v/>
      </c>
    </row>
    <row r="943" customFormat="false" ht="15" hidden="false" customHeight="false" outlineLevel="0" collapsed="false">
      <c r="A943" s="25"/>
      <c r="B943" s="19"/>
      <c r="C943" s="19"/>
      <c r="D943" s="26"/>
      <c r="E943" s="27" t="str">
        <f aca="false">IF($B943="","",IFERROR(INDEX(Products!$B$2:$B$201,MATCH($B943,Products!$A$2:$A$201,0)),"Unknown code"))</f>
        <v/>
      </c>
      <c r="F943" s="22" t="str">
        <f aca="false">IF($B943="","",IFERROR(INDEX(Products!$C$2:$C$201,MATCH($B943,Products!$A$2:$A$201,0)),""))</f>
        <v/>
      </c>
      <c r="G943" s="17" t="str">
        <f aca="false">IF($B943="","",IFERROR(INDEX(Products!$D$2:$D$201,MATCH($B943,Products!$A$2:$A$201,0)),0))</f>
        <v/>
      </c>
      <c r="H943" s="17" t="str">
        <f aca="false">IF($B943="","",C943*G943*(1-D943))</f>
        <v/>
      </c>
      <c r="I943" s="17" t="str">
        <f aca="false">IF($B943="","",C943*IFERROR(INDEX(Products!$E$2:$E$201,MATCH($B943,Products!$A$2:$A$201,0)),0))</f>
        <v/>
      </c>
      <c r="J943" s="17" t="str">
        <f aca="false">IF($B943="","",H943-I943)</f>
        <v/>
      </c>
      <c r="K943" s="16" t="str">
        <f aca="false">IF($A943="","",DATE(YEAR($A943),MONTH($A943),1))</f>
        <v/>
      </c>
    </row>
    <row r="944" customFormat="false" ht="15" hidden="false" customHeight="false" outlineLevel="0" collapsed="false">
      <c r="A944" s="25"/>
      <c r="B944" s="19"/>
      <c r="C944" s="19"/>
      <c r="D944" s="26"/>
      <c r="E944" s="27" t="str">
        <f aca="false">IF($B944="","",IFERROR(INDEX(Products!$B$2:$B$201,MATCH($B944,Products!$A$2:$A$201,0)),"Unknown code"))</f>
        <v/>
      </c>
      <c r="F944" s="22" t="str">
        <f aca="false">IF($B944="","",IFERROR(INDEX(Products!$C$2:$C$201,MATCH($B944,Products!$A$2:$A$201,0)),""))</f>
        <v/>
      </c>
      <c r="G944" s="17" t="str">
        <f aca="false">IF($B944="","",IFERROR(INDEX(Products!$D$2:$D$201,MATCH($B944,Products!$A$2:$A$201,0)),0))</f>
        <v/>
      </c>
      <c r="H944" s="17" t="str">
        <f aca="false">IF($B944="","",C944*G944*(1-D944))</f>
        <v/>
      </c>
      <c r="I944" s="17" t="str">
        <f aca="false">IF($B944="","",C944*IFERROR(INDEX(Products!$E$2:$E$201,MATCH($B944,Products!$A$2:$A$201,0)),0))</f>
        <v/>
      </c>
      <c r="J944" s="17" t="str">
        <f aca="false">IF($B944="","",H944-I944)</f>
        <v/>
      </c>
      <c r="K944" s="16" t="str">
        <f aca="false">IF($A944="","",DATE(YEAR($A944),MONTH($A944),1))</f>
        <v/>
      </c>
    </row>
    <row r="945" customFormat="false" ht="15" hidden="false" customHeight="false" outlineLevel="0" collapsed="false">
      <c r="A945" s="25"/>
      <c r="B945" s="19"/>
      <c r="C945" s="19"/>
      <c r="D945" s="26"/>
      <c r="E945" s="27" t="str">
        <f aca="false">IF($B945="","",IFERROR(INDEX(Products!$B$2:$B$201,MATCH($B945,Products!$A$2:$A$201,0)),"Unknown code"))</f>
        <v/>
      </c>
      <c r="F945" s="22" t="str">
        <f aca="false">IF($B945="","",IFERROR(INDEX(Products!$C$2:$C$201,MATCH($B945,Products!$A$2:$A$201,0)),""))</f>
        <v/>
      </c>
      <c r="G945" s="17" t="str">
        <f aca="false">IF($B945="","",IFERROR(INDEX(Products!$D$2:$D$201,MATCH($B945,Products!$A$2:$A$201,0)),0))</f>
        <v/>
      </c>
      <c r="H945" s="17" t="str">
        <f aca="false">IF($B945="","",C945*G945*(1-D945))</f>
        <v/>
      </c>
      <c r="I945" s="17" t="str">
        <f aca="false">IF($B945="","",C945*IFERROR(INDEX(Products!$E$2:$E$201,MATCH($B945,Products!$A$2:$A$201,0)),0))</f>
        <v/>
      </c>
      <c r="J945" s="17" t="str">
        <f aca="false">IF($B945="","",H945-I945)</f>
        <v/>
      </c>
      <c r="K945" s="16" t="str">
        <f aca="false">IF($A945="","",DATE(YEAR($A945),MONTH($A945),1))</f>
        <v/>
      </c>
    </row>
    <row r="946" customFormat="false" ht="15" hidden="false" customHeight="false" outlineLevel="0" collapsed="false">
      <c r="A946" s="25"/>
      <c r="B946" s="19"/>
      <c r="C946" s="19"/>
      <c r="D946" s="26"/>
      <c r="E946" s="27" t="str">
        <f aca="false">IF($B946="","",IFERROR(INDEX(Products!$B$2:$B$201,MATCH($B946,Products!$A$2:$A$201,0)),"Unknown code"))</f>
        <v/>
      </c>
      <c r="F946" s="22" t="str">
        <f aca="false">IF($B946="","",IFERROR(INDEX(Products!$C$2:$C$201,MATCH($B946,Products!$A$2:$A$201,0)),""))</f>
        <v/>
      </c>
      <c r="G946" s="17" t="str">
        <f aca="false">IF($B946="","",IFERROR(INDEX(Products!$D$2:$D$201,MATCH($B946,Products!$A$2:$A$201,0)),0))</f>
        <v/>
      </c>
      <c r="H946" s="17" t="str">
        <f aca="false">IF($B946="","",C946*G946*(1-D946))</f>
        <v/>
      </c>
      <c r="I946" s="17" t="str">
        <f aca="false">IF($B946="","",C946*IFERROR(INDEX(Products!$E$2:$E$201,MATCH($B946,Products!$A$2:$A$201,0)),0))</f>
        <v/>
      </c>
      <c r="J946" s="17" t="str">
        <f aca="false">IF($B946="","",H946-I946)</f>
        <v/>
      </c>
      <c r="K946" s="16" t="str">
        <f aca="false">IF($A946="","",DATE(YEAR($A946),MONTH($A946),1))</f>
        <v/>
      </c>
    </row>
    <row r="947" customFormat="false" ht="15" hidden="false" customHeight="false" outlineLevel="0" collapsed="false">
      <c r="A947" s="25"/>
      <c r="B947" s="19"/>
      <c r="C947" s="19"/>
      <c r="D947" s="26"/>
      <c r="E947" s="27" t="str">
        <f aca="false">IF($B947="","",IFERROR(INDEX(Products!$B$2:$B$201,MATCH($B947,Products!$A$2:$A$201,0)),"Unknown code"))</f>
        <v/>
      </c>
      <c r="F947" s="22" t="str">
        <f aca="false">IF($B947="","",IFERROR(INDEX(Products!$C$2:$C$201,MATCH($B947,Products!$A$2:$A$201,0)),""))</f>
        <v/>
      </c>
      <c r="G947" s="17" t="str">
        <f aca="false">IF($B947="","",IFERROR(INDEX(Products!$D$2:$D$201,MATCH($B947,Products!$A$2:$A$201,0)),0))</f>
        <v/>
      </c>
      <c r="H947" s="17" t="str">
        <f aca="false">IF($B947="","",C947*G947*(1-D947))</f>
        <v/>
      </c>
      <c r="I947" s="17" t="str">
        <f aca="false">IF($B947="","",C947*IFERROR(INDEX(Products!$E$2:$E$201,MATCH($B947,Products!$A$2:$A$201,0)),0))</f>
        <v/>
      </c>
      <c r="J947" s="17" t="str">
        <f aca="false">IF($B947="","",H947-I947)</f>
        <v/>
      </c>
      <c r="K947" s="16" t="str">
        <f aca="false">IF($A947="","",DATE(YEAR($A947),MONTH($A947),1))</f>
        <v/>
      </c>
    </row>
    <row r="948" customFormat="false" ht="15" hidden="false" customHeight="false" outlineLevel="0" collapsed="false">
      <c r="A948" s="25"/>
      <c r="B948" s="19"/>
      <c r="C948" s="19"/>
      <c r="D948" s="26"/>
      <c r="E948" s="27" t="str">
        <f aca="false">IF($B948="","",IFERROR(INDEX(Products!$B$2:$B$201,MATCH($B948,Products!$A$2:$A$201,0)),"Unknown code"))</f>
        <v/>
      </c>
      <c r="F948" s="22" t="str">
        <f aca="false">IF($B948="","",IFERROR(INDEX(Products!$C$2:$C$201,MATCH($B948,Products!$A$2:$A$201,0)),""))</f>
        <v/>
      </c>
      <c r="G948" s="17" t="str">
        <f aca="false">IF($B948="","",IFERROR(INDEX(Products!$D$2:$D$201,MATCH($B948,Products!$A$2:$A$201,0)),0))</f>
        <v/>
      </c>
      <c r="H948" s="17" t="str">
        <f aca="false">IF($B948="","",C948*G948*(1-D948))</f>
        <v/>
      </c>
      <c r="I948" s="17" t="str">
        <f aca="false">IF($B948="","",C948*IFERROR(INDEX(Products!$E$2:$E$201,MATCH($B948,Products!$A$2:$A$201,0)),0))</f>
        <v/>
      </c>
      <c r="J948" s="17" t="str">
        <f aca="false">IF($B948="","",H948-I948)</f>
        <v/>
      </c>
      <c r="K948" s="16" t="str">
        <f aca="false">IF($A948="","",DATE(YEAR($A948),MONTH($A948),1))</f>
        <v/>
      </c>
    </row>
    <row r="949" customFormat="false" ht="15" hidden="false" customHeight="false" outlineLevel="0" collapsed="false">
      <c r="A949" s="25"/>
      <c r="B949" s="19"/>
      <c r="C949" s="19"/>
      <c r="D949" s="26"/>
      <c r="E949" s="27" t="str">
        <f aca="false">IF($B949="","",IFERROR(INDEX(Products!$B$2:$B$201,MATCH($B949,Products!$A$2:$A$201,0)),"Unknown code"))</f>
        <v/>
      </c>
      <c r="F949" s="22" t="str">
        <f aca="false">IF($B949="","",IFERROR(INDEX(Products!$C$2:$C$201,MATCH($B949,Products!$A$2:$A$201,0)),""))</f>
        <v/>
      </c>
      <c r="G949" s="17" t="str">
        <f aca="false">IF($B949="","",IFERROR(INDEX(Products!$D$2:$D$201,MATCH($B949,Products!$A$2:$A$201,0)),0))</f>
        <v/>
      </c>
      <c r="H949" s="17" t="str">
        <f aca="false">IF($B949="","",C949*G949*(1-D949))</f>
        <v/>
      </c>
      <c r="I949" s="17" t="str">
        <f aca="false">IF($B949="","",C949*IFERROR(INDEX(Products!$E$2:$E$201,MATCH($B949,Products!$A$2:$A$201,0)),0))</f>
        <v/>
      </c>
      <c r="J949" s="17" t="str">
        <f aca="false">IF($B949="","",H949-I949)</f>
        <v/>
      </c>
      <c r="K949" s="16" t="str">
        <f aca="false">IF($A949="","",DATE(YEAR($A949),MONTH($A949),1))</f>
        <v/>
      </c>
    </row>
    <row r="950" customFormat="false" ht="15" hidden="false" customHeight="false" outlineLevel="0" collapsed="false">
      <c r="A950" s="25"/>
      <c r="B950" s="19"/>
      <c r="C950" s="19"/>
      <c r="D950" s="26"/>
      <c r="E950" s="27" t="str">
        <f aca="false">IF($B950="","",IFERROR(INDEX(Products!$B$2:$B$201,MATCH($B950,Products!$A$2:$A$201,0)),"Unknown code"))</f>
        <v/>
      </c>
      <c r="F950" s="22" t="str">
        <f aca="false">IF($B950="","",IFERROR(INDEX(Products!$C$2:$C$201,MATCH($B950,Products!$A$2:$A$201,0)),""))</f>
        <v/>
      </c>
      <c r="G950" s="17" t="str">
        <f aca="false">IF($B950="","",IFERROR(INDEX(Products!$D$2:$D$201,MATCH($B950,Products!$A$2:$A$201,0)),0))</f>
        <v/>
      </c>
      <c r="H950" s="17" t="str">
        <f aca="false">IF($B950="","",C950*G950*(1-D950))</f>
        <v/>
      </c>
      <c r="I950" s="17" t="str">
        <f aca="false">IF($B950="","",C950*IFERROR(INDEX(Products!$E$2:$E$201,MATCH($B950,Products!$A$2:$A$201,0)),0))</f>
        <v/>
      </c>
      <c r="J950" s="17" t="str">
        <f aca="false">IF($B950="","",H950-I950)</f>
        <v/>
      </c>
      <c r="K950" s="16" t="str">
        <f aca="false">IF($A950="","",DATE(YEAR($A950),MONTH($A950),1))</f>
        <v/>
      </c>
    </row>
    <row r="951" customFormat="false" ht="15" hidden="false" customHeight="false" outlineLevel="0" collapsed="false">
      <c r="A951" s="25"/>
      <c r="B951" s="19"/>
      <c r="C951" s="19"/>
      <c r="D951" s="26"/>
      <c r="E951" s="27" t="str">
        <f aca="false">IF($B951="","",IFERROR(INDEX(Products!$B$2:$B$201,MATCH($B951,Products!$A$2:$A$201,0)),"Unknown code"))</f>
        <v/>
      </c>
      <c r="F951" s="22" t="str">
        <f aca="false">IF($B951="","",IFERROR(INDEX(Products!$C$2:$C$201,MATCH($B951,Products!$A$2:$A$201,0)),""))</f>
        <v/>
      </c>
      <c r="G951" s="17" t="str">
        <f aca="false">IF($B951="","",IFERROR(INDEX(Products!$D$2:$D$201,MATCH($B951,Products!$A$2:$A$201,0)),0))</f>
        <v/>
      </c>
      <c r="H951" s="17" t="str">
        <f aca="false">IF($B951="","",C951*G951*(1-D951))</f>
        <v/>
      </c>
      <c r="I951" s="17" t="str">
        <f aca="false">IF($B951="","",C951*IFERROR(INDEX(Products!$E$2:$E$201,MATCH($B951,Products!$A$2:$A$201,0)),0))</f>
        <v/>
      </c>
      <c r="J951" s="17" t="str">
        <f aca="false">IF($B951="","",H951-I951)</f>
        <v/>
      </c>
      <c r="K951" s="16" t="str">
        <f aca="false">IF($A951="","",DATE(YEAR($A951),MONTH($A951),1))</f>
        <v/>
      </c>
    </row>
    <row r="952" customFormat="false" ht="15" hidden="false" customHeight="false" outlineLevel="0" collapsed="false">
      <c r="A952" s="25"/>
      <c r="B952" s="19"/>
      <c r="C952" s="19"/>
      <c r="D952" s="26"/>
      <c r="E952" s="27" t="str">
        <f aca="false">IF($B952="","",IFERROR(INDEX(Products!$B$2:$B$201,MATCH($B952,Products!$A$2:$A$201,0)),"Unknown code"))</f>
        <v/>
      </c>
      <c r="F952" s="22" t="str">
        <f aca="false">IF($B952="","",IFERROR(INDEX(Products!$C$2:$C$201,MATCH($B952,Products!$A$2:$A$201,0)),""))</f>
        <v/>
      </c>
      <c r="G952" s="17" t="str">
        <f aca="false">IF($B952="","",IFERROR(INDEX(Products!$D$2:$D$201,MATCH($B952,Products!$A$2:$A$201,0)),0))</f>
        <v/>
      </c>
      <c r="H952" s="17" t="str">
        <f aca="false">IF($B952="","",C952*G952*(1-D952))</f>
        <v/>
      </c>
      <c r="I952" s="17" t="str">
        <f aca="false">IF($B952="","",C952*IFERROR(INDEX(Products!$E$2:$E$201,MATCH($B952,Products!$A$2:$A$201,0)),0))</f>
        <v/>
      </c>
      <c r="J952" s="17" t="str">
        <f aca="false">IF($B952="","",H952-I952)</f>
        <v/>
      </c>
      <c r="K952" s="16" t="str">
        <f aca="false">IF($A952="","",DATE(YEAR($A952),MONTH($A952),1))</f>
        <v/>
      </c>
    </row>
    <row r="953" customFormat="false" ht="15" hidden="false" customHeight="false" outlineLevel="0" collapsed="false">
      <c r="A953" s="25"/>
      <c r="B953" s="19"/>
      <c r="C953" s="19"/>
      <c r="D953" s="26"/>
      <c r="E953" s="27" t="str">
        <f aca="false">IF($B953="","",IFERROR(INDEX(Products!$B$2:$B$201,MATCH($B953,Products!$A$2:$A$201,0)),"Unknown code"))</f>
        <v/>
      </c>
      <c r="F953" s="22" t="str">
        <f aca="false">IF($B953="","",IFERROR(INDEX(Products!$C$2:$C$201,MATCH($B953,Products!$A$2:$A$201,0)),""))</f>
        <v/>
      </c>
      <c r="G953" s="17" t="str">
        <f aca="false">IF($B953="","",IFERROR(INDEX(Products!$D$2:$D$201,MATCH($B953,Products!$A$2:$A$201,0)),0))</f>
        <v/>
      </c>
      <c r="H953" s="17" t="str">
        <f aca="false">IF($B953="","",C953*G953*(1-D953))</f>
        <v/>
      </c>
      <c r="I953" s="17" t="str">
        <f aca="false">IF($B953="","",C953*IFERROR(INDEX(Products!$E$2:$E$201,MATCH($B953,Products!$A$2:$A$201,0)),0))</f>
        <v/>
      </c>
      <c r="J953" s="17" t="str">
        <f aca="false">IF($B953="","",H953-I953)</f>
        <v/>
      </c>
      <c r="K953" s="16" t="str">
        <f aca="false">IF($A953="","",DATE(YEAR($A953),MONTH($A953),1))</f>
        <v/>
      </c>
    </row>
    <row r="954" customFormat="false" ht="15" hidden="false" customHeight="false" outlineLevel="0" collapsed="false">
      <c r="A954" s="25"/>
      <c r="B954" s="19"/>
      <c r="C954" s="19"/>
      <c r="D954" s="26"/>
      <c r="E954" s="27" t="str">
        <f aca="false">IF($B954="","",IFERROR(INDEX(Products!$B$2:$B$201,MATCH($B954,Products!$A$2:$A$201,0)),"Unknown code"))</f>
        <v/>
      </c>
      <c r="F954" s="22" t="str">
        <f aca="false">IF($B954="","",IFERROR(INDEX(Products!$C$2:$C$201,MATCH($B954,Products!$A$2:$A$201,0)),""))</f>
        <v/>
      </c>
      <c r="G954" s="17" t="str">
        <f aca="false">IF($B954="","",IFERROR(INDEX(Products!$D$2:$D$201,MATCH($B954,Products!$A$2:$A$201,0)),0))</f>
        <v/>
      </c>
      <c r="H954" s="17" t="str">
        <f aca="false">IF($B954="","",C954*G954*(1-D954))</f>
        <v/>
      </c>
      <c r="I954" s="17" t="str">
        <f aca="false">IF($B954="","",C954*IFERROR(INDEX(Products!$E$2:$E$201,MATCH($B954,Products!$A$2:$A$201,0)),0))</f>
        <v/>
      </c>
      <c r="J954" s="17" t="str">
        <f aca="false">IF($B954="","",H954-I954)</f>
        <v/>
      </c>
      <c r="K954" s="16" t="str">
        <f aca="false">IF($A954="","",DATE(YEAR($A954),MONTH($A954),1))</f>
        <v/>
      </c>
    </row>
    <row r="955" customFormat="false" ht="15" hidden="false" customHeight="false" outlineLevel="0" collapsed="false">
      <c r="A955" s="25"/>
      <c r="B955" s="19"/>
      <c r="C955" s="19"/>
      <c r="D955" s="26"/>
      <c r="E955" s="27" t="str">
        <f aca="false">IF($B955="","",IFERROR(INDEX(Products!$B$2:$B$201,MATCH($B955,Products!$A$2:$A$201,0)),"Unknown code"))</f>
        <v/>
      </c>
      <c r="F955" s="22" t="str">
        <f aca="false">IF($B955="","",IFERROR(INDEX(Products!$C$2:$C$201,MATCH($B955,Products!$A$2:$A$201,0)),""))</f>
        <v/>
      </c>
      <c r="G955" s="17" t="str">
        <f aca="false">IF($B955="","",IFERROR(INDEX(Products!$D$2:$D$201,MATCH($B955,Products!$A$2:$A$201,0)),0))</f>
        <v/>
      </c>
      <c r="H955" s="17" t="str">
        <f aca="false">IF($B955="","",C955*G955*(1-D955))</f>
        <v/>
      </c>
      <c r="I955" s="17" t="str">
        <f aca="false">IF($B955="","",C955*IFERROR(INDEX(Products!$E$2:$E$201,MATCH($B955,Products!$A$2:$A$201,0)),0))</f>
        <v/>
      </c>
      <c r="J955" s="17" t="str">
        <f aca="false">IF($B955="","",H955-I955)</f>
        <v/>
      </c>
      <c r="K955" s="16" t="str">
        <f aca="false">IF($A955="","",DATE(YEAR($A955),MONTH($A955),1))</f>
        <v/>
      </c>
    </row>
    <row r="956" customFormat="false" ht="15" hidden="false" customHeight="false" outlineLevel="0" collapsed="false">
      <c r="A956" s="25"/>
      <c r="B956" s="19"/>
      <c r="C956" s="19"/>
      <c r="D956" s="26"/>
      <c r="E956" s="27" t="str">
        <f aca="false">IF($B956="","",IFERROR(INDEX(Products!$B$2:$B$201,MATCH($B956,Products!$A$2:$A$201,0)),"Unknown code"))</f>
        <v/>
      </c>
      <c r="F956" s="22" t="str">
        <f aca="false">IF($B956="","",IFERROR(INDEX(Products!$C$2:$C$201,MATCH($B956,Products!$A$2:$A$201,0)),""))</f>
        <v/>
      </c>
      <c r="G956" s="17" t="str">
        <f aca="false">IF($B956="","",IFERROR(INDEX(Products!$D$2:$D$201,MATCH($B956,Products!$A$2:$A$201,0)),0))</f>
        <v/>
      </c>
      <c r="H956" s="17" t="str">
        <f aca="false">IF($B956="","",C956*G956*(1-D956))</f>
        <v/>
      </c>
      <c r="I956" s="17" t="str">
        <f aca="false">IF($B956="","",C956*IFERROR(INDEX(Products!$E$2:$E$201,MATCH($B956,Products!$A$2:$A$201,0)),0))</f>
        <v/>
      </c>
      <c r="J956" s="17" t="str">
        <f aca="false">IF($B956="","",H956-I956)</f>
        <v/>
      </c>
      <c r="K956" s="16" t="str">
        <f aca="false">IF($A956="","",DATE(YEAR($A956),MONTH($A956),1))</f>
        <v/>
      </c>
    </row>
    <row r="957" customFormat="false" ht="15" hidden="false" customHeight="false" outlineLevel="0" collapsed="false">
      <c r="A957" s="25"/>
      <c r="B957" s="19"/>
      <c r="C957" s="19"/>
      <c r="D957" s="26"/>
      <c r="E957" s="27" t="str">
        <f aca="false">IF($B957="","",IFERROR(INDEX(Products!$B$2:$B$201,MATCH($B957,Products!$A$2:$A$201,0)),"Unknown code"))</f>
        <v/>
      </c>
      <c r="F957" s="22" t="str">
        <f aca="false">IF($B957="","",IFERROR(INDEX(Products!$C$2:$C$201,MATCH($B957,Products!$A$2:$A$201,0)),""))</f>
        <v/>
      </c>
      <c r="G957" s="17" t="str">
        <f aca="false">IF($B957="","",IFERROR(INDEX(Products!$D$2:$D$201,MATCH($B957,Products!$A$2:$A$201,0)),0))</f>
        <v/>
      </c>
      <c r="H957" s="17" t="str">
        <f aca="false">IF($B957="","",C957*G957*(1-D957))</f>
        <v/>
      </c>
      <c r="I957" s="17" t="str">
        <f aca="false">IF($B957="","",C957*IFERROR(INDEX(Products!$E$2:$E$201,MATCH($B957,Products!$A$2:$A$201,0)),0))</f>
        <v/>
      </c>
      <c r="J957" s="17" t="str">
        <f aca="false">IF($B957="","",H957-I957)</f>
        <v/>
      </c>
      <c r="K957" s="16" t="str">
        <f aca="false">IF($A957="","",DATE(YEAR($A957),MONTH($A957),1))</f>
        <v/>
      </c>
    </row>
    <row r="958" customFormat="false" ht="15" hidden="false" customHeight="false" outlineLevel="0" collapsed="false">
      <c r="A958" s="25"/>
      <c r="B958" s="19"/>
      <c r="C958" s="19"/>
      <c r="D958" s="26"/>
      <c r="E958" s="27" t="str">
        <f aca="false">IF($B958="","",IFERROR(INDEX(Products!$B$2:$B$201,MATCH($B958,Products!$A$2:$A$201,0)),"Unknown code"))</f>
        <v/>
      </c>
      <c r="F958" s="22" t="str">
        <f aca="false">IF($B958="","",IFERROR(INDEX(Products!$C$2:$C$201,MATCH($B958,Products!$A$2:$A$201,0)),""))</f>
        <v/>
      </c>
      <c r="G958" s="17" t="str">
        <f aca="false">IF($B958="","",IFERROR(INDEX(Products!$D$2:$D$201,MATCH($B958,Products!$A$2:$A$201,0)),0))</f>
        <v/>
      </c>
      <c r="H958" s="17" t="str">
        <f aca="false">IF($B958="","",C958*G958*(1-D958))</f>
        <v/>
      </c>
      <c r="I958" s="17" t="str">
        <f aca="false">IF($B958="","",C958*IFERROR(INDEX(Products!$E$2:$E$201,MATCH($B958,Products!$A$2:$A$201,0)),0))</f>
        <v/>
      </c>
      <c r="J958" s="17" t="str">
        <f aca="false">IF($B958="","",H958-I958)</f>
        <v/>
      </c>
      <c r="K958" s="16" t="str">
        <f aca="false">IF($A958="","",DATE(YEAR($A958),MONTH($A958),1))</f>
        <v/>
      </c>
    </row>
    <row r="959" customFormat="false" ht="15" hidden="false" customHeight="false" outlineLevel="0" collapsed="false">
      <c r="A959" s="25"/>
      <c r="B959" s="19"/>
      <c r="C959" s="19"/>
      <c r="D959" s="26"/>
      <c r="E959" s="27" t="str">
        <f aca="false">IF($B959="","",IFERROR(INDEX(Products!$B$2:$B$201,MATCH($B959,Products!$A$2:$A$201,0)),"Unknown code"))</f>
        <v/>
      </c>
      <c r="F959" s="22" t="str">
        <f aca="false">IF($B959="","",IFERROR(INDEX(Products!$C$2:$C$201,MATCH($B959,Products!$A$2:$A$201,0)),""))</f>
        <v/>
      </c>
      <c r="G959" s="17" t="str">
        <f aca="false">IF($B959="","",IFERROR(INDEX(Products!$D$2:$D$201,MATCH($B959,Products!$A$2:$A$201,0)),0))</f>
        <v/>
      </c>
      <c r="H959" s="17" t="str">
        <f aca="false">IF($B959="","",C959*G959*(1-D959))</f>
        <v/>
      </c>
      <c r="I959" s="17" t="str">
        <f aca="false">IF($B959="","",C959*IFERROR(INDEX(Products!$E$2:$E$201,MATCH($B959,Products!$A$2:$A$201,0)),0))</f>
        <v/>
      </c>
      <c r="J959" s="17" t="str">
        <f aca="false">IF($B959="","",H959-I959)</f>
        <v/>
      </c>
      <c r="K959" s="16" t="str">
        <f aca="false">IF($A959="","",DATE(YEAR($A959),MONTH($A959),1))</f>
        <v/>
      </c>
    </row>
    <row r="960" customFormat="false" ht="15" hidden="false" customHeight="false" outlineLevel="0" collapsed="false">
      <c r="A960" s="25"/>
      <c r="B960" s="19"/>
      <c r="C960" s="19"/>
      <c r="D960" s="26"/>
      <c r="E960" s="27" t="str">
        <f aca="false">IF($B960="","",IFERROR(INDEX(Products!$B$2:$B$201,MATCH($B960,Products!$A$2:$A$201,0)),"Unknown code"))</f>
        <v/>
      </c>
      <c r="F960" s="22" t="str">
        <f aca="false">IF($B960="","",IFERROR(INDEX(Products!$C$2:$C$201,MATCH($B960,Products!$A$2:$A$201,0)),""))</f>
        <v/>
      </c>
      <c r="G960" s="17" t="str">
        <f aca="false">IF($B960="","",IFERROR(INDEX(Products!$D$2:$D$201,MATCH($B960,Products!$A$2:$A$201,0)),0))</f>
        <v/>
      </c>
      <c r="H960" s="17" t="str">
        <f aca="false">IF($B960="","",C960*G960*(1-D960))</f>
        <v/>
      </c>
      <c r="I960" s="17" t="str">
        <f aca="false">IF($B960="","",C960*IFERROR(INDEX(Products!$E$2:$E$201,MATCH($B960,Products!$A$2:$A$201,0)),0))</f>
        <v/>
      </c>
      <c r="J960" s="17" t="str">
        <f aca="false">IF($B960="","",H960-I960)</f>
        <v/>
      </c>
      <c r="K960" s="16" t="str">
        <f aca="false">IF($A960="","",DATE(YEAR($A960),MONTH($A960),1))</f>
        <v/>
      </c>
    </row>
    <row r="961" customFormat="false" ht="15" hidden="false" customHeight="false" outlineLevel="0" collapsed="false">
      <c r="A961" s="25"/>
      <c r="B961" s="19"/>
      <c r="C961" s="19"/>
      <c r="D961" s="26"/>
      <c r="E961" s="27" t="str">
        <f aca="false">IF($B961="","",IFERROR(INDEX(Products!$B$2:$B$201,MATCH($B961,Products!$A$2:$A$201,0)),"Unknown code"))</f>
        <v/>
      </c>
      <c r="F961" s="22" t="str">
        <f aca="false">IF($B961="","",IFERROR(INDEX(Products!$C$2:$C$201,MATCH($B961,Products!$A$2:$A$201,0)),""))</f>
        <v/>
      </c>
      <c r="G961" s="17" t="str">
        <f aca="false">IF($B961="","",IFERROR(INDEX(Products!$D$2:$D$201,MATCH($B961,Products!$A$2:$A$201,0)),0))</f>
        <v/>
      </c>
      <c r="H961" s="17" t="str">
        <f aca="false">IF($B961="","",C961*G961*(1-D961))</f>
        <v/>
      </c>
      <c r="I961" s="17" t="str">
        <f aca="false">IF($B961="","",C961*IFERROR(INDEX(Products!$E$2:$E$201,MATCH($B961,Products!$A$2:$A$201,0)),0))</f>
        <v/>
      </c>
      <c r="J961" s="17" t="str">
        <f aca="false">IF($B961="","",H961-I961)</f>
        <v/>
      </c>
      <c r="K961" s="16" t="str">
        <f aca="false">IF($A961="","",DATE(YEAR($A961),MONTH($A961),1))</f>
        <v/>
      </c>
    </row>
    <row r="962" customFormat="false" ht="15" hidden="false" customHeight="false" outlineLevel="0" collapsed="false">
      <c r="A962" s="25"/>
      <c r="B962" s="19"/>
      <c r="C962" s="19"/>
      <c r="D962" s="26"/>
      <c r="E962" s="27" t="str">
        <f aca="false">IF($B962="","",IFERROR(INDEX(Products!$B$2:$B$201,MATCH($B962,Products!$A$2:$A$201,0)),"Unknown code"))</f>
        <v/>
      </c>
      <c r="F962" s="22" t="str">
        <f aca="false">IF($B962="","",IFERROR(INDEX(Products!$C$2:$C$201,MATCH($B962,Products!$A$2:$A$201,0)),""))</f>
        <v/>
      </c>
      <c r="G962" s="17" t="str">
        <f aca="false">IF($B962="","",IFERROR(INDEX(Products!$D$2:$D$201,MATCH($B962,Products!$A$2:$A$201,0)),0))</f>
        <v/>
      </c>
      <c r="H962" s="17" t="str">
        <f aca="false">IF($B962="","",C962*G962*(1-D962))</f>
        <v/>
      </c>
      <c r="I962" s="17" t="str">
        <f aca="false">IF($B962="","",C962*IFERROR(INDEX(Products!$E$2:$E$201,MATCH($B962,Products!$A$2:$A$201,0)),0))</f>
        <v/>
      </c>
      <c r="J962" s="17" t="str">
        <f aca="false">IF($B962="","",H962-I962)</f>
        <v/>
      </c>
      <c r="K962" s="16" t="str">
        <f aca="false">IF($A962="","",DATE(YEAR($A962),MONTH($A962),1))</f>
        <v/>
      </c>
    </row>
    <row r="963" customFormat="false" ht="15" hidden="false" customHeight="false" outlineLevel="0" collapsed="false">
      <c r="A963" s="25"/>
      <c r="B963" s="19"/>
      <c r="C963" s="19"/>
      <c r="D963" s="26"/>
      <c r="E963" s="27" t="str">
        <f aca="false">IF($B963="","",IFERROR(INDEX(Products!$B$2:$B$201,MATCH($B963,Products!$A$2:$A$201,0)),"Unknown code"))</f>
        <v/>
      </c>
      <c r="F963" s="22" t="str">
        <f aca="false">IF($B963="","",IFERROR(INDEX(Products!$C$2:$C$201,MATCH($B963,Products!$A$2:$A$201,0)),""))</f>
        <v/>
      </c>
      <c r="G963" s="17" t="str">
        <f aca="false">IF($B963="","",IFERROR(INDEX(Products!$D$2:$D$201,MATCH($B963,Products!$A$2:$A$201,0)),0))</f>
        <v/>
      </c>
      <c r="H963" s="17" t="str">
        <f aca="false">IF($B963="","",C963*G963*(1-D963))</f>
        <v/>
      </c>
      <c r="I963" s="17" t="str">
        <f aca="false">IF($B963="","",C963*IFERROR(INDEX(Products!$E$2:$E$201,MATCH($B963,Products!$A$2:$A$201,0)),0))</f>
        <v/>
      </c>
      <c r="J963" s="17" t="str">
        <f aca="false">IF($B963="","",H963-I963)</f>
        <v/>
      </c>
      <c r="K963" s="16" t="str">
        <f aca="false">IF($A963="","",DATE(YEAR($A963),MONTH($A963),1))</f>
        <v/>
      </c>
    </row>
    <row r="964" customFormat="false" ht="15" hidden="false" customHeight="false" outlineLevel="0" collapsed="false">
      <c r="A964" s="25"/>
      <c r="B964" s="19"/>
      <c r="C964" s="19"/>
      <c r="D964" s="26"/>
      <c r="E964" s="27" t="str">
        <f aca="false">IF($B964="","",IFERROR(INDEX(Products!$B$2:$B$201,MATCH($B964,Products!$A$2:$A$201,0)),"Unknown code"))</f>
        <v/>
      </c>
      <c r="F964" s="22" t="str">
        <f aca="false">IF($B964="","",IFERROR(INDEX(Products!$C$2:$C$201,MATCH($B964,Products!$A$2:$A$201,0)),""))</f>
        <v/>
      </c>
      <c r="G964" s="17" t="str">
        <f aca="false">IF($B964="","",IFERROR(INDEX(Products!$D$2:$D$201,MATCH($B964,Products!$A$2:$A$201,0)),0))</f>
        <v/>
      </c>
      <c r="H964" s="17" t="str">
        <f aca="false">IF($B964="","",C964*G964*(1-D964))</f>
        <v/>
      </c>
      <c r="I964" s="17" t="str">
        <f aca="false">IF($B964="","",C964*IFERROR(INDEX(Products!$E$2:$E$201,MATCH($B964,Products!$A$2:$A$201,0)),0))</f>
        <v/>
      </c>
      <c r="J964" s="17" t="str">
        <f aca="false">IF($B964="","",H964-I964)</f>
        <v/>
      </c>
      <c r="K964" s="16" t="str">
        <f aca="false">IF($A964="","",DATE(YEAR($A964),MONTH($A964),1))</f>
        <v/>
      </c>
    </row>
    <row r="965" customFormat="false" ht="15" hidden="false" customHeight="false" outlineLevel="0" collapsed="false">
      <c r="A965" s="25"/>
      <c r="B965" s="19"/>
      <c r="C965" s="19"/>
      <c r="D965" s="26"/>
      <c r="E965" s="27" t="str">
        <f aca="false">IF($B965="","",IFERROR(INDEX(Products!$B$2:$B$201,MATCH($B965,Products!$A$2:$A$201,0)),"Unknown code"))</f>
        <v/>
      </c>
      <c r="F965" s="22" t="str">
        <f aca="false">IF($B965="","",IFERROR(INDEX(Products!$C$2:$C$201,MATCH($B965,Products!$A$2:$A$201,0)),""))</f>
        <v/>
      </c>
      <c r="G965" s="17" t="str">
        <f aca="false">IF($B965="","",IFERROR(INDEX(Products!$D$2:$D$201,MATCH($B965,Products!$A$2:$A$201,0)),0))</f>
        <v/>
      </c>
      <c r="H965" s="17" t="str">
        <f aca="false">IF($B965="","",C965*G965*(1-D965))</f>
        <v/>
      </c>
      <c r="I965" s="17" t="str">
        <f aca="false">IF($B965="","",C965*IFERROR(INDEX(Products!$E$2:$E$201,MATCH($B965,Products!$A$2:$A$201,0)),0))</f>
        <v/>
      </c>
      <c r="J965" s="17" t="str">
        <f aca="false">IF($B965="","",H965-I965)</f>
        <v/>
      </c>
      <c r="K965" s="16" t="str">
        <f aca="false">IF($A965="","",DATE(YEAR($A965),MONTH($A965),1))</f>
        <v/>
      </c>
    </row>
    <row r="966" customFormat="false" ht="15" hidden="false" customHeight="false" outlineLevel="0" collapsed="false">
      <c r="A966" s="25"/>
      <c r="B966" s="19"/>
      <c r="C966" s="19"/>
      <c r="D966" s="26"/>
      <c r="E966" s="27" t="str">
        <f aca="false">IF($B966="","",IFERROR(INDEX(Products!$B$2:$B$201,MATCH($B966,Products!$A$2:$A$201,0)),"Unknown code"))</f>
        <v/>
      </c>
      <c r="F966" s="22" t="str">
        <f aca="false">IF($B966="","",IFERROR(INDEX(Products!$C$2:$C$201,MATCH($B966,Products!$A$2:$A$201,0)),""))</f>
        <v/>
      </c>
      <c r="G966" s="17" t="str">
        <f aca="false">IF($B966="","",IFERROR(INDEX(Products!$D$2:$D$201,MATCH($B966,Products!$A$2:$A$201,0)),0))</f>
        <v/>
      </c>
      <c r="H966" s="17" t="str">
        <f aca="false">IF($B966="","",C966*G966*(1-D966))</f>
        <v/>
      </c>
      <c r="I966" s="17" t="str">
        <f aca="false">IF($B966="","",C966*IFERROR(INDEX(Products!$E$2:$E$201,MATCH($B966,Products!$A$2:$A$201,0)),0))</f>
        <v/>
      </c>
      <c r="J966" s="17" t="str">
        <f aca="false">IF($B966="","",H966-I966)</f>
        <v/>
      </c>
      <c r="K966" s="16" t="str">
        <f aca="false">IF($A966="","",DATE(YEAR($A966),MONTH($A966),1))</f>
        <v/>
      </c>
    </row>
    <row r="967" customFormat="false" ht="15" hidden="false" customHeight="false" outlineLevel="0" collapsed="false">
      <c r="A967" s="25"/>
      <c r="B967" s="19"/>
      <c r="C967" s="19"/>
      <c r="D967" s="26"/>
      <c r="E967" s="27" t="str">
        <f aca="false">IF($B967="","",IFERROR(INDEX(Products!$B$2:$B$201,MATCH($B967,Products!$A$2:$A$201,0)),"Unknown code"))</f>
        <v/>
      </c>
      <c r="F967" s="22" t="str">
        <f aca="false">IF($B967="","",IFERROR(INDEX(Products!$C$2:$C$201,MATCH($B967,Products!$A$2:$A$201,0)),""))</f>
        <v/>
      </c>
      <c r="G967" s="17" t="str">
        <f aca="false">IF($B967="","",IFERROR(INDEX(Products!$D$2:$D$201,MATCH($B967,Products!$A$2:$A$201,0)),0))</f>
        <v/>
      </c>
      <c r="H967" s="17" t="str">
        <f aca="false">IF($B967="","",C967*G967*(1-D967))</f>
        <v/>
      </c>
      <c r="I967" s="17" t="str">
        <f aca="false">IF($B967="","",C967*IFERROR(INDEX(Products!$E$2:$E$201,MATCH($B967,Products!$A$2:$A$201,0)),0))</f>
        <v/>
      </c>
      <c r="J967" s="17" t="str">
        <f aca="false">IF($B967="","",H967-I967)</f>
        <v/>
      </c>
      <c r="K967" s="16" t="str">
        <f aca="false">IF($A967="","",DATE(YEAR($A967),MONTH($A967),1))</f>
        <v/>
      </c>
    </row>
    <row r="968" customFormat="false" ht="15" hidden="false" customHeight="false" outlineLevel="0" collapsed="false">
      <c r="A968" s="25"/>
      <c r="B968" s="19"/>
      <c r="C968" s="19"/>
      <c r="D968" s="26"/>
      <c r="E968" s="27" t="str">
        <f aca="false">IF($B968="","",IFERROR(INDEX(Products!$B$2:$B$201,MATCH($B968,Products!$A$2:$A$201,0)),"Unknown code"))</f>
        <v/>
      </c>
      <c r="F968" s="22" t="str">
        <f aca="false">IF($B968="","",IFERROR(INDEX(Products!$C$2:$C$201,MATCH($B968,Products!$A$2:$A$201,0)),""))</f>
        <v/>
      </c>
      <c r="G968" s="17" t="str">
        <f aca="false">IF($B968="","",IFERROR(INDEX(Products!$D$2:$D$201,MATCH($B968,Products!$A$2:$A$201,0)),0))</f>
        <v/>
      </c>
      <c r="H968" s="17" t="str">
        <f aca="false">IF($B968="","",C968*G968*(1-D968))</f>
        <v/>
      </c>
      <c r="I968" s="17" t="str">
        <f aca="false">IF($B968="","",C968*IFERROR(INDEX(Products!$E$2:$E$201,MATCH($B968,Products!$A$2:$A$201,0)),0))</f>
        <v/>
      </c>
      <c r="J968" s="17" t="str">
        <f aca="false">IF($B968="","",H968-I968)</f>
        <v/>
      </c>
      <c r="K968" s="16" t="str">
        <f aca="false">IF($A968="","",DATE(YEAR($A968),MONTH($A968),1))</f>
        <v/>
      </c>
    </row>
    <row r="969" customFormat="false" ht="15" hidden="false" customHeight="false" outlineLevel="0" collapsed="false">
      <c r="A969" s="25"/>
      <c r="B969" s="19"/>
      <c r="C969" s="19"/>
      <c r="D969" s="26"/>
      <c r="E969" s="27" t="str">
        <f aca="false">IF($B969="","",IFERROR(INDEX(Products!$B$2:$B$201,MATCH($B969,Products!$A$2:$A$201,0)),"Unknown code"))</f>
        <v/>
      </c>
      <c r="F969" s="22" t="str">
        <f aca="false">IF($B969="","",IFERROR(INDEX(Products!$C$2:$C$201,MATCH($B969,Products!$A$2:$A$201,0)),""))</f>
        <v/>
      </c>
      <c r="G969" s="17" t="str">
        <f aca="false">IF($B969="","",IFERROR(INDEX(Products!$D$2:$D$201,MATCH($B969,Products!$A$2:$A$201,0)),0))</f>
        <v/>
      </c>
      <c r="H969" s="17" t="str">
        <f aca="false">IF($B969="","",C969*G969*(1-D969))</f>
        <v/>
      </c>
      <c r="I969" s="17" t="str">
        <f aca="false">IF($B969="","",C969*IFERROR(INDEX(Products!$E$2:$E$201,MATCH($B969,Products!$A$2:$A$201,0)),0))</f>
        <v/>
      </c>
      <c r="J969" s="17" t="str">
        <f aca="false">IF($B969="","",H969-I969)</f>
        <v/>
      </c>
      <c r="K969" s="16" t="str">
        <f aca="false">IF($A969="","",DATE(YEAR($A969),MONTH($A969),1))</f>
        <v/>
      </c>
    </row>
    <row r="970" customFormat="false" ht="15" hidden="false" customHeight="false" outlineLevel="0" collapsed="false">
      <c r="A970" s="25"/>
      <c r="B970" s="19"/>
      <c r="C970" s="19"/>
      <c r="D970" s="26"/>
      <c r="E970" s="27" t="str">
        <f aca="false">IF($B970="","",IFERROR(INDEX(Products!$B$2:$B$201,MATCH($B970,Products!$A$2:$A$201,0)),"Unknown code"))</f>
        <v/>
      </c>
      <c r="F970" s="22" t="str">
        <f aca="false">IF($B970="","",IFERROR(INDEX(Products!$C$2:$C$201,MATCH($B970,Products!$A$2:$A$201,0)),""))</f>
        <v/>
      </c>
      <c r="G970" s="17" t="str">
        <f aca="false">IF($B970="","",IFERROR(INDEX(Products!$D$2:$D$201,MATCH($B970,Products!$A$2:$A$201,0)),0))</f>
        <v/>
      </c>
      <c r="H970" s="17" t="str">
        <f aca="false">IF($B970="","",C970*G970*(1-D970))</f>
        <v/>
      </c>
      <c r="I970" s="17" t="str">
        <f aca="false">IF($B970="","",C970*IFERROR(INDEX(Products!$E$2:$E$201,MATCH($B970,Products!$A$2:$A$201,0)),0))</f>
        <v/>
      </c>
      <c r="J970" s="17" t="str">
        <f aca="false">IF($B970="","",H970-I970)</f>
        <v/>
      </c>
      <c r="K970" s="16" t="str">
        <f aca="false">IF($A970="","",DATE(YEAR($A970),MONTH($A970),1))</f>
        <v/>
      </c>
    </row>
    <row r="971" customFormat="false" ht="15" hidden="false" customHeight="false" outlineLevel="0" collapsed="false">
      <c r="A971" s="25"/>
      <c r="B971" s="19"/>
      <c r="C971" s="19"/>
      <c r="D971" s="26"/>
      <c r="E971" s="27" t="str">
        <f aca="false">IF($B971="","",IFERROR(INDEX(Products!$B$2:$B$201,MATCH($B971,Products!$A$2:$A$201,0)),"Unknown code"))</f>
        <v/>
      </c>
      <c r="F971" s="22" t="str">
        <f aca="false">IF($B971="","",IFERROR(INDEX(Products!$C$2:$C$201,MATCH($B971,Products!$A$2:$A$201,0)),""))</f>
        <v/>
      </c>
      <c r="G971" s="17" t="str">
        <f aca="false">IF($B971="","",IFERROR(INDEX(Products!$D$2:$D$201,MATCH($B971,Products!$A$2:$A$201,0)),0))</f>
        <v/>
      </c>
      <c r="H971" s="17" t="str">
        <f aca="false">IF($B971="","",C971*G971*(1-D971))</f>
        <v/>
      </c>
      <c r="I971" s="17" t="str">
        <f aca="false">IF($B971="","",C971*IFERROR(INDEX(Products!$E$2:$E$201,MATCH($B971,Products!$A$2:$A$201,0)),0))</f>
        <v/>
      </c>
      <c r="J971" s="17" t="str">
        <f aca="false">IF($B971="","",H971-I971)</f>
        <v/>
      </c>
      <c r="K971" s="16" t="str">
        <f aca="false">IF($A971="","",DATE(YEAR($A971),MONTH($A971),1))</f>
        <v/>
      </c>
    </row>
    <row r="972" customFormat="false" ht="15" hidden="false" customHeight="false" outlineLevel="0" collapsed="false">
      <c r="A972" s="25"/>
      <c r="B972" s="19"/>
      <c r="C972" s="19"/>
      <c r="D972" s="26"/>
      <c r="E972" s="27" t="str">
        <f aca="false">IF($B972="","",IFERROR(INDEX(Products!$B$2:$B$201,MATCH($B972,Products!$A$2:$A$201,0)),"Unknown code"))</f>
        <v/>
      </c>
      <c r="F972" s="22" t="str">
        <f aca="false">IF($B972="","",IFERROR(INDEX(Products!$C$2:$C$201,MATCH($B972,Products!$A$2:$A$201,0)),""))</f>
        <v/>
      </c>
      <c r="G972" s="17" t="str">
        <f aca="false">IF($B972="","",IFERROR(INDEX(Products!$D$2:$D$201,MATCH($B972,Products!$A$2:$A$201,0)),0))</f>
        <v/>
      </c>
      <c r="H972" s="17" t="str">
        <f aca="false">IF($B972="","",C972*G972*(1-D972))</f>
        <v/>
      </c>
      <c r="I972" s="17" t="str">
        <f aca="false">IF($B972="","",C972*IFERROR(INDEX(Products!$E$2:$E$201,MATCH($B972,Products!$A$2:$A$201,0)),0))</f>
        <v/>
      </c>
      <c r="J972" s="17" t="str">
        <f aca="false">IF($B972="","",H972-I972)</f>
        <v/>
      </c>
      <c r="K972" s="16" t="str">
        <f aca="false">IF($A972="","",DATE(YEAR($A972),MONTH($A972),1))</f>
        <v/>
      </c>
    </row>
    <row r="973" customFormat="false" ht="15" hidden="false" customHeight="false" outlineLevel="0" collapsed="false">
      <c r="A973" s="25"/>
      <c r="B973" s="19"/>
      <c r="C973" s="19"/>
      <c r="D973" s="26"/>
      <c r="E973" s="27" t="str">
        <f aca="false">IF($B973="","",IFERROR(INDEX(Products!$B$2:$B$201,MATCH($B973,Products!$A$2:$A$201,0)),"Unknown code"))</f>
        <v/>
      </c>
      <c r="F973" s="22" t="str">
        <f aca="false">IF($B973="","",IFERROR(INDEX(Products!$C$2:$C$201,MATCH($B973,Products!$A$2:$A$201,0)),""))</f>
        <v/>
      </c>
      <c r="G973" s="17" t="str">
        <f aca="false">IF($B973="","",IFERROR(INDEX(Products!$D$2:$D$201,MATCH($B973,Products!$A$2:$A$201,0)),0))</f>
        <v/>
      </c>
      <c r="H973" s="17" t="str">
        <f aca="false">IF($B973="","",C973*G973*(1-D973))</f>
        <v/>
      </c>
      <c r="I973" s="17" t="str">
        <f aca="false">IF($B973="","",C973*IFERROR(INDEX(Products!$E$2:$E$201,MATCH($B973,Products!$A$2:$A$201,0)),0))</f>
        <v/>
      </c>
      <c r="J973" s="17" t="str">
        <f aca="false">IF($B973="","",H973-I973)</f>
        <v/>
      </c>
      <c r="K973" s="16" t="str">
        <f aca="false">IF($A973="","",DATE(YEAR($A973),MONTH($A973),1))</f>
        <v/>
      </c>
    </row>
    <row r="974" customFormat="false" ht="15" hidden="false" customHeight="false" outlineLevel="0" collapsed="false">
      <c r="A974" s="25"/>
      <c r="B974" s="19"/>
      <c r="C974" s="19"/>
      <c r="D974" s="26"/>
      <c r="E974" s="27" t="str">
        <f aca="false">IF($B974="","",IFERROR(INDEX(Products!$B$2:$B$201,MATCH($B974,Products!$A$2:$A$201,0)),"Unknown code"))</f>
        <v/>
      </c>
      <c r="F974" s="22" t="str">
        <f aca="false">IF($B974="","",IFERROR(INDEX(Products!$C$2:$C$201,MATCH($B974,Products!$A$2:$A$201,0)),""))</f>
        <v/>
      </c>
      <c r="G974" s="17" t="str">
        <f aca="false">IF($B974="","",IFERROR(INDEX(Products!$D$2:$D$201,MATCH($B974,Products!$A$2:$A$201,0)),0))</f>
        <v/>
      </c>
      <c r="H974" s="17" t="str">
        <f aca="false">IF($B974="","",C974*G974*(1-D974))</f>
        <v/>
      </c>
      <c r="I974" s="17" t="str">
        <f aca="false">IF($B974="","",C974*IFERROR(INDEX(Products!$E$2:$E$201,MATCH($B974,Products!$A$2:$A$201,0)),0))</f>
        <v/>
      </c>
      <c r="J974" s="17" t="str">
        <f aca="false">IF($B974="","",H974-I974)</f>
        <v/>
      </c>
      <c r="K974" s="16" t="str">
        <f aca="false">IF($A974="","",DATE(YEAR($A974),MONTH($A974),1))</f>
        <v/>
      </c>
    </row>
    <row r="975" customFormat="false" ht="15" hidden="false" customHeight="false" outlineLevel="0" collapsed="false">
      <c r="A975" s="25"/>
      <c r="B975" s="19"/>
      <c r="C975" s="19"/>
      <c r="D975" s="26"/>
      <c r="E975" s="27" t="str">
        <f aca="false">IF($B975="","",IFERROR(INDEX(Products!$B$2:$B$201,MATCH($B975,Products!$A$2:$A$201,0)),"Unknown code"))</f>
        <v/>
      </c>
      <c r="F975" s="22" t="str">
        <f aca="false">IF($B975="","",IFERROR(INDEX(Products!$C$2:$C$201,MATCH($B975,Products!$A$2:$A$201,0)),""))</f>
        <v/>
      </c>
      <c r="G975" s="17" t="str">
        <f aca="false">IF($B975="","",IFERROR(INDEX(Products!$D$2:$D$201,MATCH($B975,Products!$A$2:$A$201,0)),0))</f>
        <v/>
      </c>
      <c r="H975" s="17" t="str">
        <f aca="false">IF($B975="","",C975*G975*(1-D975))</f>
        <v/>
      </c>
      <c r="I975" s="17" t="str">
        <f aca="false">IF($B975="","",C975*IFERROR(INDEX(Products!$E$2:$E$201,MATCH($B975,Products!$A$2:$A$201,0)),0))</f>
        <v/>
      </c>
      <c r="J975" s="17" t="str">
        <f aca="false">IF($B975="","",H975-I975)</f>
        <v/>
      </c>
      <c r="K975" s="16" t="str">
        <f aca="false">IF($A975="","",DATE(YEAR($A975),MONTH($A975),1))</f>
        <v/>
      </c>
    </row>
    <row r="976" customFormat="false" ht="15" hidden="false" customHeight="false" outlineLevel="0" collapsed="false">
      <c r="A976" s="25"/>
      <c r="B976" s="19"/>
      <c r="C976" s="19"/>
      <c r="D976" s="26"/>
      <c r="E976" s="27" t="str">
        <f aca="false">IF($B976="","",IFERROR(INDEX(Products!$B$2:$B$201,MATCH($B976,Products!$A$2:$A$201,0)),"Unknown code"))</f>
        <v/>
      </c>
      <c r="F976" s="22" t="str">
        <f aca="false">IF($B976="","",IFERROR(INDEX(Products!$C$2:$C$201,MATCH($B976,Products!$A$2:$A$201,0)),""))</f>
        <v/>
      </c>
      <c r="G976" s="17" t="str">
        <f aca="false">IF($B976="","",IFERROR(INDEX(Products!$D$2:$D$201,MATCH($B976,Products!$A$2:$A$201,0)),0))</f>
        <v/>
      </c>
      <c r="H976" s="17" t="str">
        <f aca="false">IF($B976="","",C976*G976*(1-D976))</f>
        <v/>
      </c>
      <c r="I976" s="17" t="str">
        <f aca="false">IF($B976="","",C976*IFERROR(INDEX(Products!$E$2:$E$201,MATCH($B976,Products!$A$2:$A$201,0)),0))</f>
        <v/>
      </c>
      <c r="J976" s="17" t="str">
        <f aca="false">IF($B976="","",H976-I976)</f>
        <v/>
      </c>
      <c r="K976" s="16" t="str">
        <f aca="false">IF($A976="","",DATE(YEAR($A976),MONTH($A976),1))</f>
        <v/>
      </c>
    </row>
    <row r="977" customFormat="false" ht="15" hidden="false" customHeight="false" outlineLevel="0" collapsed="false">
      <c r="A977" s="25"/>
      <c r="B977" s="19"/>
      <c r="C977" s="19"/>
      <c r="D977" s="26"/>
      <c r="E977" s="27" t="str">
        <f aca="false">IF($B977="","",IFERROR(INDEX(Products!$B$2:$B$201,MATCH($B977,Products!$A$2:$A$201,0)),"Unknown code"))</f>
        <v/>
      </c>
      <c r="F977" s="22" t="str">
        <f aca="false">IF($B977="","",IFERROR(INDEX(Products!$C$2:$C$201,MATCH($B977,Products!$A$2:$A$201,0)),""))</f>
        <v/>
      </c>
      <c r="G977" s="17" t="str">
        <f aca="false">IF($B977="","",IFERROR(INDEX(Products!$D$2:$D$201,MATCH($B977,Products!$A$2:$A$201,0)),0))</f>
        <v/>
      </c>
      <c r="H977" s="17" t="str">
        <f aca="false">IF($B977="","",C977*G977*(1-D977))</f>
        <v/>
      </c>
      <c r="I977" s="17" t="str">
        <f aca="false">IF($B977="","",C977*IFERROR(INDEX(Products!$E$2:$E$201,MATCH($B977,Products!$A$2:$A$201,0)),0))</f>
        <v/>
      </c>
      <c r="J977" s="17" t="str">
        <f aca="false">IF($B977="","",H977-I977)</f>
        <v/>
      </c>
      <c r="K977" s="16" t="str">
        <f aca="false">IF($A977="","",DATE(YEAR($A977),MONTH($A977),1))</f>
        <v/>
      </c>
    </row>
    <row r="978" customFormat="false" ht="15" hidden="false" customHeight="false" outlineLevel="0" collapsed="false">
      <c r="A978" s="25"/>
      <c r="B978" s="19"/>
      <c r="C978" s="19"/>
      <c r="D978" s="26"/>
      <c r="E978" s="27" t="str">
        <f aca="false">IF($B978="","",IFERROR(INDEX(Products!$B$2:$B$201,MATCH($B978,Products!$A$2:$A$201,0)),"Unknown code"))</f>
        <v/>
      </c>
      <c r="F978" s="22" t="str">
        <f aca="false">IF($B978="","",IFERROR(INDEX(Products!$C$2:$C$201,MATCH($B978,Products!$A$2:$A$201,0)),""))</f>
        <v/>
      </c>
      <c r="G978" s="17" t="str">
        <f aca="false">IF($B978="","",IFERROR(INDEX(Products!$D$2:$D$201,MATCH($B978,Products!$A$2:$A$201,0)),0))</f>
        <v/>
      </c>
      <c r="H978" s="17" t="str">
        <f aca="false">IF($B978="","",C978*G978*(1-D978))</f>
        <v/>
      </c>
      <c r="I978" s="17" t="str">
        <f aca="false">IF($B978="","",C978*IFERROR(INDEX(Products!$E$2:$E$201,MATCH($B978,Products!$A$2:$A$201,0)),0))</f>
        <v/>
      </c>
      <c r="J978" s="17" t="str">
        <f aca="false">IF($B978="","",H978-I978)</f>
        <v/>
      </c>
      <c r="K978" s="16" t="str">
        <f aca="false">IF($A978="","",DATE(YEAR($A978),MONTH($A978),1))</f>
        <v/>
      </c>
    </row>
    <row r="979" customFormat="false" ht="15" hidden="false" customHeight="false" outlineLevel="0" collapsed="false">
      <c r="A979" s="25"/>
      <c r="B979" s="19"/>
      <c r="C979" s="19"/>
      <c r="D979" s="26"/>
      <c r="E979" s="27" t="str">
        <f aca="false">IF($B979="","",IFERROR(INDEX(Products!$B$2:$B$201,MATCH($B979,Products!$A$2:$A$201,0)),"Unknown code"))</f>
        <v/>
      </c>
      <c r="F979" s="22" t="str">
        <f aca="false">IF($B979="","",IFERROR(INDEX(Products!$C$2:$C$201,MATCH($B979,Products!$A$2:$A$201,0)),""))</f>
        <v/>
      </c>
      <c r="G979" s="17" t="str">
        <f aca="false">IF($B979="","",IFERROR(INDEX(Products!$D$2:$D$201,MATCH($B979,Products!$A$2:$A$201,0)),0))</f>
        <v/>
      </c>
      <c r="H979" s="17" t="str">
        <f aca="false">IF($B979="","",C979*G979*(1-D979))</f>
        <v/>
      </c>
      <c r="I979" s="17" t="str">
        <f aca="false">IF($B979="","",C979*IFERROR(INDEX(Products!$E$2:$E$201,MATCH($B979,Products!$A$2:$A$201,0)),0))</f>
        <v/>
      </c>
      <c r="J979" s="17" t="str">
        <f aca="false">IF($B979="","",H979-I979)</f>
        <v/>
      </c>
      <c r="K979" s="16" t="str">
        <f aca="false">IF($A979="","",DATE(YEAR($A979),MONTH($A979),1))</f>
        <v/>
      </c>
    </row>
    <row r="980" customFormat="false" ht="15" hidden="false" customHeight="false" outlineLevel="0" collapsed="false">
      <c r="A980" s="25"/>
      <c r="B980" s="19"/>
      <c r="C980" s="19"/>
      <c r="D980" s="26"/>
      <c r="E980" s="27" t="str">
        <f aca="false">IF($B980="","",IFERROR(INDEX(Products!$B$2:$B$201,MATCH($B980,Products!$A$2:$A$201,0)),"Unknown code"))</f>
        <v/>
      </c>
      <c r="F980" s="22" t="str">
        <f aca="false">IF($B980="","",IFERROR(INDEX(Products!$C$2:$C$201,MATCH($B980,Products!$A$2:$A$201,0)),""))</f>
        <v/>
      </c>
      <c r="G980" s="17" t="str">
        <f aca="false">IF($B980="","",IFERROR(INDEX(Products!$D$2:$D$201,MATCH($B980,Products!$A$2:$A$201,0)),0))</f>
        <v/>
      </c>
      <c r="H980" s="17" t="str">
        <f aca="false">IF($B980="","",C980*G980*(1-D980))</f>
        <v/>
      </c>
      <c r="I980" s="17" t="str">
        <f aca="false">IF($B980="","",C980*IFERROR(INDEX(Products!$E$2:$E$201,MATCH($B980,Products!$A$2:$A$201,0)),0))</f>
        <v/>
      </c>
      <c r="J980" s="17" t="str">
        <f aca="false">IF($B980="","",H980-I980)</f>
        <v/>
      </c>
      <c r="K980" s="16" t="str">
        <f aca="false">IF($A980="","",DATE(YEAR($A980),MONTH($A980),1))</f>
        <v/>
      </c>
    </row>
    <row r="981" customFormat="false" ht="15" hidden="false" customHeight="false" outlineLevel="0" collapsed="false">
      <c r="A981" s="25"/>
      <c r="B981" s="19"/>
      <c r="C981" s="19"/>
      <c r="D981" s="26"/>
      <c r="E981" s="27" t="str">
        <f aca="false">IF($B981="","",IFERROR(INDEX(Products!$B$2:$B$201,MATCH($B981,Products!$A$2:$A$201,0)),"Unknown code"))</f>
        <v/>
      </c>
      <c r="F981" s="22" t="str">
        <f aca="false">IF($B981="","",IFERROR(INDEX(Products!$C$2:$C$201,MATCH($B981,Products!$A$2:$A$201,0)),""))</f>
        <v/>
      </c>
      <c r="G981" s="17" t="str">
        <f aca="false">IF($B981="","",IFERROR(INDEX(Products!$D$2:$D$201,MATCH($B981,Products!$A$2:$A$201,0)),0))</f>
        <v/>
      </c>
      <c r="H981" s="17" t="str">
        <f aca="false">IF($B981="","",C981*G981*(1-D981))</f>
        <v/>
      </c>
      <c r="I981" s="17" t="str">
        <f aca="false">IF($B981="","",C981*IFERROR(INDEX(Products!$E$2:$E$201,MATCH($B981,Products!$A$2:$A$201,0)),0))</f>
        <v/>
      </c>
      <c r="J981" s="17" t="str">
        <f aca="false">IF($B981="","",H981-I981)</f>
        <v/>
      </c>
      <c r="K981" s="16" t="str">
        <f aca="false">IF($A981="","",DATE(YEAR($A981),MONTH($A981),1))</f>
        <v/>
      </c>
    </row>
    <row r="982" customFormat="false" ht="15" hidden="false" customHeight="false" outlineLevel="0" collapsed="false">
      <c r="A982" s="25"/>
      <c r="B982" s="19"/>
      <c r="C982" s="19"/>
      <c r="D982" s="26"/>
      <c r="E982" s="27" t="str">
        <f aca="false">IF($B982="","",IFERROR(INDEX(Products!$B$2:$B$201,MATCH($B982,Products!$A$2:$A$201,0)),"Unknown code"))</f>
        <v/>
      </c>
      <c r="F982" s="22" t="str">
        <f aca="false">IF($B982="","",IFERROR(INDEX(Products!$C$2:$C$201,MATCH($B982,Products!$A$2:$A$201,0)),""))</f>
        <v/>
      </c>
      <c r="G982" s="17" t="str">
        <f aca="false">IF($B982="","",IFERROR(INDEX(Products!$D$2:$D$201,MATCH($B982,Products!$A$2:$A$201,0)),0))</f>
        <v/>
      </c>
      <c r="H982" s="17" t="str">
        <f aca="false">IF($B982="","",C982*G982*(1-D982))</f>
        <v/>
      </c>
      <c r="I982" s="17" t="str">
        <f aca="false">IF($B982="","",C982*IFERROR(INDEX(Products!$E$2:$E$201,MATCH($B982,Products!$A$2:$A$201,0)),0))</f>
        <v/>
      </c>
      <c r="J982" s="17" t="str">
        <f aca="false">IF($B982="","",H982-I982)</f>
        <v/>
      </c>
      <c r="K982" s="16" t="str">
        <f aca="false">IF($A982="","",DATE(YEAR($A982),MONTH($A982),1))</f>
        <v/>
      </c>
    </row>
    <row r="983" customFormat="false" ht="15" hidden="false" customHeight="false" outlineLevel="0" collapsed="false">
      <c r="A983" s="25"/>
      <c r="B983" s="19"/>
      <c r="C983" s="19"/>
      <c r="D983" s="26"/>
      <c r="E983" s="27" t="str">
        <f aca="false">IF($B983="","",IFERROR(INDEX(Products!$B$2:$B$201,MATCH($B983,Products!$A$2:$A$201,0)),"Unknown code"))</f>
        <v/>
      </c>
      <c r="F983" s="22" t="str">
        <f aca="false">IF($B983="","",IFERROR(INDEX(Products!$C$2:$C$201,MATCH($B983,Products!$A$2:$A$201,0)),""))</f>
        <v/>
      </c>
      <c r="G983" s="17" t="str">
        <f aca="false">IF($B983="","",IFERROR(INDEX(Products!$D$2:$D$201,MATCH($B983,Products!$A$2:$A$201,0)),0))</f>
        <v/>
      </c>
      <c r="H983" s="17" t="str">
        <f aca="false">IF($B983="","",C983*G983*(1-D983))</f>
        <v/>
      </c>
      <c r="I983" s="17" t="str">
        <f aca="false">IF($B983="","",C983*IFERROR(INDEX(Products!$E$2:$E$201,MATCH($B983,Products!$A$2:$A$201,0)),0))</f>
        <v/>
      </c>
      <c r="J983" s="17" t="str">
        <f aca="false">IF($B983="","",H983-I983)</f>
        <v/>
      </c>
      <c r="K983" s="16" t="str">
        <f aca="false">IF($A983="","",DATE(YEAR($A983),MONTH($A983),1))</f>
        <v/>
      </c>
    </row>
    <row r="984" customFormat="false" ht="15" hidden="false" customHeight="false" outlineLevel="0" collapsed="false">
      <c r="A984" s="25"/>
      <c r="B984" s="19"/>
      <c r="C984" s="19"/>
      <c r="D984" s="26"/>
      <c r="E984" s="27" t="str">
        <f aca="false">IF($B984="","",IFERROR(INDEX(Products!$B$2:$B$201,MATCH($B984,Products!$A$2:$A$201,0)),"Unknown code"))</f>
        <v/>
      </c>
      <c r="F984" s="22" t="str">
        <f aca="false">IF($B984="","",IFERROR(INDEX(Products!$C$2:$C$201,MATCH($B984,Products!$A$2:$A$201,0)),""))</f>
        <v/>
      </c>
      <c r="G984" s="17" t="str">
        <f aca="false">IF($B984="","",IFERROR(INDEX(Products!$D$2:$D$201,MATCH($B984,Products!$A$2:$A$201,0)),0))</f>
        <v/>
      </c>
      <c r="H984" s="17" t="str">
        <f aca="false">IF($B984="","",C984*G984*(1-D984))</f>
        <v/>
      </c>
      <c r="I984" s="17" t="str">
        <f aca="false">IF($B984="","",C984*IFERROR(INDEX(Products!$E$2:$E$201,MATCH($B984,Products!$A$2:$A$201,0)),0))</f>
        <v/>
      </c>
      <c r="J984" s="17" t="str">
        <f aca="false">IF($B984="","",H984-I984)</f>
        <v/>
      </c>
      <c r="K984" s="16" t="str">
        <f aca="false">IF($A984="","",DATE(YEAR($A984),MONTH($A984),1))</f>
        <v/>
      </c>
    </row>
    <row r="985" customFormat="false" ht="15" hidden="false" customHeight="false" outlineLevel="0" collapsed="false">
      <c r="A985" s="25"/>
      <c r="B985" s="19"/>
      <c r="C985" s="19"/>
      <c r="D985" s="26"/>
      <c r="E985" s="27" t="str">
        <f aca="false">IF($B985="","",IFERROR(INDEX(Products!$B$2:$B$201,MATCH($B985,Products!$A$2:$A$201,0)),"Unknown code"))</f>
        <v/>
      </c>
      <c r="F985" s="22" t="str">
        <f aca="false">IF($B985="","",IFERROR(INDEX(Products!$C$2:$C$201,MATCH($B985,Products!$A$2:$A$201,0)),""))</f>
        <v/>
      </c>
      <c r="G985" s="17" t="str">
        <f aca="false">IF($B985="","",IFERROR(INDEX(Products!$D$2:$D$201,MATCH($B985,Products!$A$2:$A$201,0)),0))</f>
        <v/>
      </c>
      <c r="H985" s="17" t="str">
        <f aca="false">IF($B985="","",C985*G985*(1-D985))</f>
        <v/>
      </c>
      <c r="I985" s="17" t="str">
        <f aca="false">IF($B985="","",C985*IFERROR(INDEX(Products!$E$2:$E$201,MATCH($B985,Products!$A$2:$A$201,0)),0))</f>
        <v/>
      </c>
      <c r="J985" s="17" t="str">
        <f aca="false">IF($B985="","",H985-I985)</f>
        <v/>
      </c>
      <c r="K985" s="16" t="str">
        <f aca="false">IF($A985="","",DATE(YEAR($A985),MONTH($A985),1))</f>
        <v/>
      </c>
    </row>
    <row r="986" customFormat="false" ht="15" hidden="false" customHeight="false" outlineLevel="0" collapsed="false">
      <c r="A986" s="25"/>
      <c r="B986" s="19"/>
      <c r="C986" s="19"/>
      <c r="D986" s="26"/>
      <c r="E986" s="27" t="str">
        <f aca="false">IF($B986="","",IFERROR(INDEX(Products!$B$2:$B$201,MATCH($B986,Products!$A$2:$A$201,0)),"Unknown code"))</f>
        <v/>
      </c>
      <c r="F986" s="22" t="str">
        <f aca="false">IF($B986="","",IFERROR(INDEX(Products!$C$2:$C$201,MATCH($B986,Products!$A$2:$A$201,0)),""))</f>
        <v/>
      </c>
      <c r="G986" s="17" t="str">
        <f aca="false">IF($B986="","",IFERROR(INDEX(Products!$D$2:$D$201,MATCH($B986,Products!$A$2:$A$201,0)),0))</f>
        <v/>
      </c>
      <c r="H986" s="17" t="str">
        <f aca="false">IF($B986="","",C986*G986*(1-D986))</f>
        <v/>
      </c>
      <c r="I986" s="17" t="str">
        <f aca="false">IF($B986="","",C986*IFERROR(INDEX(Products!$E$2:$E$201,MATCH($B986,Products!$A$2:$A$201,0)),0))</f>
        <v/>
      </c>
      <c r="J986" s="17" t="str">
        <f aca="false">IF($B986="","",H986-I986)</f>
        <v/>
      </c>
      <c r="K986" s="16" t="str">
        <f aca="false">IF($A986="","",DATE(YEAR($A986),MONTH($A986),1))</f>
        <v/>
      </c>
    </row>
    <row r="987" customFormat="false" ht="15" hidden="false" customHeight="false" outlineLevel="0" collapsed="false">
      <c r="A987" s="25"/>
      <c r="B987" s="19"/>
      <c r="C987" s="19"/>
      <c r="D987" s="26"/>
      <c r="E987" s="27" t="str">
        <f aca="false">IF($B987="","",IFERROR(INDEX(Products!$B$2:$B$201,MATCH($B987,Products!$A$2:$A$201,0)),"Unknown code"))</f>
        <v/>
      </c>
      <c r="F987" s="22" t="str">
        <f aca="false">IF($B987="","",IFERROR(INDEX(Products!$C$2:$C$201,MATCH($B987,Products!$A$2:$A$201,0)),""))</f>
        <v/>
      </c>
      <c r="G987" s="17" t="str">
        <f aca="false">IF($B987="","",IFERROR(INDEX(Products!$D$2:$D$201,MATCH($B987,Products!$A$2:$A$201,0)),0))</f>
        <v/>
      </c>
      <c r="H987" s="17" t="str">
        <f aca="false">IF($B987="","",C987*G987*(1-D987))</f>
        <v/>
      </c>
      <c r="I987" s="17" t="str">
        <f aca="false">IF($B987="","",C987*IFERROR(INDEX(Products!$E$2:$E$201,MATCH($B987,Products!$A$2:$A$201,0)),0))</f>
        <v/>
      </c>
      <c r="J987" s="17" t="str">
        <f aca="false">IF($B987="","",H987-I987)</f>
        <v/>
      </c>
      <c r="K987" s="16" t="str">
        <f aca="false">IF($A987="","",DATE(YEAR($A987),MONTH($A987),1))</f>
        <v/>
      </c>
    </row>
    <row r="988" customFormat="false" ht="15" hidden="false" customHeight="false" outlineLevel="0" collapsed="false">
      <c r="A988" s="25"/>
      <c r="B988" s="19"/>
      <c r="C988" s="19"/>
      <c r="D988" s="26"/>
      <c r="E988" s="27" t="str">
        <f aca="false">IF($B988="","",IFERROR(INDEX(Products!$B$2:$B$201,MATCH($B988,Products!$A$2:$A$201,0)),"Unknown code"))</f>
        <v/>
      </c>
      <c r="F988" s="22" t="str">
        <f aca="false">IF($B988="","",IFERROR(INDEX(Products!$C$2:$C$201,MATCH($B988,Products!$A$2:$A$201,0)),""))</f>
        <v/>
      </c>
      <c r="G988" s="17" t="str">
        <f aca="false">IF($B988="","",IFERROR(INDEX(Products!$D$2:$D$201,MATCH($B988,Products!$A$2:$A$201,0)),0))</f>
        <v/>
      </c>
      <c r="H988" s="17" t="str">
        <f aca="false">IF($B988="","",C988*G988*(1-D988))</f>
        <v/>
      </c>
      <c r="I988" s="17" t="str">
        <f aca="false">IF($B988="","",C988*IFERROR(INDEX(Products!$E$2:$E$201,MATCH($B988,Products!$A$2:$A$201,0)),0))</f>
        <v/>
      </c>
      <c r="J988" s="17" t="str">
        <f aca="false">IF($B988="","",H988-I988)</f>
        <v/>
      </c>
      <c r="K988" s="16" t="str">
        <f aca="false">IF($A988="","",DATE(YEAR($A988),MONTH($A988),1))</f>
        <v/>
      </c>
    </row>
    <row r="989" customFormat="false" ht="15" hidden="false" customHeight="false" outlineLevel="0" collapsed="false">
      <c r="A989" s="25"/>
      <c r="B989" s="19"/>
      <c r="C989" s="19"/>
      <c r="D989" s="26"/>
      <c r="E989" s="27" t="str">
        <f aca="false">IF($B989="","",IFERROR(INDEX(Products!$B$2:$B$201,MATCH($B989,Products!$A$2:$A$201,0)),"Unknown code"))</f>
        <v/>
      </c>
      <c r="F989" s="22" t="str">
        <f aca="false">IF($B989="","",IFERROR(INDEX(Products!$C$2:$C$201,MATCH($B989,Products!$A$2:$A$201,0)),""))</f>
        <v/>
      </c>
      <c r="G989" s="17" t="str">
        <f aca="false">IF($B989="","",IFERROR(INDEX(Products!$D$2:$D$201,MATCH($B989,Products!$A$2:$A$201,0)),0))</f>
        <v/>
      </c>
      <c r="H989" s="17" t="str">
        <f aca="false">IF($B989="","",C989*G989*(1-D989))</f>
        <v/>
      </c>
      <c r="I989" s="17" t="str">
        <f aca="false">IF($B989="","",C989*IFERROR(INDEX(Products!$E$2:$E$201,MATCH($B989,Products!$A$2:$A$201,0)),0))</f>
        <v/>
      </c>
      <c r="J989" s="17" t="str">
        <f aca="false">IF($B989="","",H989-I989)</f>
        <v/>
      </c>
      <c r="K989" s="16" t="str">
        <f aca="false">IF($A989="","",DATE(YEAR($A989),MONTH($A989),1))</f>
        <v/>
      </c>
    </row>
    <row r="990" customFormat="false" ht="15" hidden="false" customHeight="false" outlineLevel="0" collapsed="false">
      <c r="A990" s="25"/>
      <c r="B990" s="19"/>
      <c r="C990" s="19"/>
      <c r="D990" s="26"/>
      <c r="E990" s="27" t="str">
        <f aca="false">IF($B990="","",IFERROR(INDEX(Products!$B$2:$B$201,MATCH($B990,Products!$A$2:$A$201,0)),"Unknown code"))</f>
        <v/>
      </c>
      <c r="F990" s="22" t="str">
        <f aca="false">IF($B990="","",IFERROR(INDEX(Products!$C$2:$C$201,MATCH($B990,Products!$A$2:$A$201,0)),""))</f>
        <v/>
      </c>
      <c r="G990" s="17" t="str">
        <f aca="false">IF($B990="","",IFERROR(INDEX(Products!$D$2:$D$201,MATCH($B990,Products!$A$2:$A$201,0)),0))</f>
        <v/>
      </c>
      <c r="H990" s="17" t="str">
        <f aca="false">IF($B990="","",C990*G990*(1-D990))</f>
        <v/>
      </c>
      <c r="I990" s="17" t="str">
        <f aca="false">IF($B990="","",C990*IFERROR(INDEX(Products!$E$2:$E$201,MATCH($B990,Products!$A$2:$A$201,0)),0))</f>
        <v/>
      </c>
      <c r="J990" s="17" t="str">
        <f aca="false">IF($B990="","",H990-I990)</f>
        <v/>
      </c>
      <c r="K990" s="16" t="str">
        <f aca="false">IF($A990="","",DATE(YEAR($A990),MONTH($A990),1))</f>
        <v/>
      </c>
    </row>
    <row r="991" customFormat="false" ht="15" hidden="false" customHeight="false" outlineLevel="0" collapsed="false">
      <c r="A991" s="25"/>
      <c r="B991" s="19"/>
      <c r="C991" s="19"/>
      <c r="D991" s="26"/>
      <c r="E991" s="27" t="str">
        <f aca="false">IF($B991="","",IFERROR(INDEX(Products!$B$2:$B$201,MATCH($B991,Products!$A$2:$A$201,0)),"Unknown code"))</f>
        <v/>
      </c>
      <c r="F991" s="22" t="str">
        <f aca="false">IF($B991="","",IFERROR(INDEX(Products!$C$2:$C$201,MATCH($B991,Products!$A$2:$A$201,0)),""))</f>
        <v/>
      </c>
      <c r="G991" s="17" t="str">
        <f aca="false">IF($B991="","",IFERROR(INDEX(Products!$D$2:$D$201,MATCH($B991,Products!$A$2:$A$201,0)),0))</f>
        <v/>
      </c>
      <c r="H991" s="17" t="str">
        <f aca="false">IF($B991="","",C991*G991*(1-D991))</f>
        <v/>
      </c>
      <c r="I991" s="17" t="str">
        <f aca="false">IF($B991="","",C991*IFERROR(INDEX(Products!$E$2:$E$201,MATCH($B991,Products!$A$2:$A$201,0)),0))</f>
        <v/>
      </c>
      <c r="J991" s="17" t="str">
        <f aca="false">IF($B991="","",H991-I991)</f>
        <v/>
      </c>
      <c r="K991" s="16" t="str">
        <f aca="false">IF($A991="","",DATE(YEAR($A991),MONTH($A991),1))</f>
        <v/>
      </c>
    </row>
    <row r="992" customFormat="false" ht="15" hidden="false" customHeight="false" outlineLevel="0" collapsed="false">
      <c r="A992" s="25"/>
      <c r="B992" s="19"/>
      <c r="C992" s="19"/>
      <c r="D992" s="26"/>
      <c r="E992" s="27" t="str">
        <f aca="false">IF($B992="","",IFERROR(INDEX(Products!$B$2:$B$201,MATCH($B992,Products!$A$2:$A$201,0)),"Unknown code"))</f>
        <v/>
      </c>
      <c r="F992" s="22" t="str">
        <f aca="false">IF($B992="","",IFERROR(INDEX(Products!$C$2:$C$201,MATCH($B992,Products!$A$2:$A$201,0)),""))</f>
        <v/>
      </c>
      <c r="G992" s="17" t="str">
        <f aca="false">IF($B992="","",IFERROR(INDEX(Products!$D$2:$D$201,MATCH($B992,Products!$A$2:$A$201,0)),0))</f>
        <v/>
      </c>
      <c r="H992" s="17" t="str">
        <f aca="false">IF($B992="","",C992*G992*(1-D992))</f>
        <v/>
      </c>
      <c r="I992" s="17" t="str">
        <f aca="false">IF($B992="","",C992*IFERROR(INDEX(Products!$E$2:$E$201,MATCH($B992,Products!$A$2:$A$201,0)),0))</f>
        <v/>
      </c>
      <c r="J992" s="17" t="str">
        <f aca="false">IF($B992="","",H992-I992)</f>
        <v/>
      </c>
      <c r="K992" s="16" t="str">
        <f aca="false">IF($A992="","",DATE(YEAR($A992),MONTH($A992),1))</f>
        <v/>
      </c>
    </row>
    <row r="993" customFormat="false" ht="15" hidden="false" customHeight="false" outlineLevel="0" collapsed="false">
      <c r="A993" s="25"/>
      <c r="B993" s="19"/>
      <c r="C993" s="19"/>
      <c r="D993" s="26"/>
      <c r="E993" s="27" t="str">
        <f aca="false">IF($B993="","",IFERROR(INDEX(Products!$B$2:$B$201,MATCH($B993,Products!$A$2:$A$201,0)),"Unknown code"))</f>
        <v/>
      </c>
      <c r="F993" s="22" t="str">
        <f aca="false">IF($B993="","",IFERROR(INDEX(Products!$C$2:$C$201,MATCH($B993,Products!$A$2:$A$201,0)),""))</f>
        <v/>
      </c>
      <c r="G993" s="17" t="str">
        <f aca="false">IF($B993="","",IFERROR(INDEX(Products!$D$2:$D$201,MATCH($B993,Products!$A$2:$A$201,0)),0))</f>
        <v/>
      </c>
      <c r="H993" s="17" t="str">
        <f aca="false">IF($B993="","",C993*G993*(1-D993))</f>
        <v/>
      </c>
      <c r="I993" s="17" t="str">
        <f aca="false">IF($B993="","",C993*IFERROR(INDEX(Products!$E$2:$E$201,MATCH($B993,Products!$A$2:$A$201,0)),0))</f>
        <v/>
      </c>
      <c r="J993" s="17" t="str">
        <f aca="false">IF($B993="","",H993-I993)</f>
        <v/>
      </c>
      <c r="K993" s="16" t="str">
        <f aca="false">IF($A993="","",DATE(YEAR($A993),MONTH($A993),1))</f>
        <v/>
      </c>
    </row>
    <row r="994" customFormat="false" ht="15" hidden="false" customHeight="false" outlineLevel="0" collapsed="false">
      <c r="A994" s="25"/>
      <c r="B994" s="19"/>
      <c r="C994" s="19"/>
      <c r="D994" s="26"/>
      <c r="E994" s="27" t="str">
        <f aca="false">IF($B994="","",IFERROR(INDEX(Products!$B$2:$B$201,MATCH($B994,Products!$A$2:$A$201,0)),"Unknown code"))</f>
        <v/>
      </c>
      <c r="F994" s="22" t="str">
        <f aca="false">IF($B994="","",IFERROR(INDEX(Products!$C$2:$C$201,MATCH($B994,Products!$A$2:$A$201,0)),""))</f>
        <v/>
      </c>
      <c r="G994" s="17" t="str">
        <f aca="false">IF($B994="","",IFERROR(INDEX(Products!$D$2:$D$201,MATCH($B994,Products!$A$2:$A$201,0)),0))</f>
        <v/>
      </c>
      <c r="H994" s="17" t="str">
        <f aca="false">IF($B994="","",C994*G994*(1-D994))</f>
        <v/>
      </c>
      <c r="I994" s="17" t="str">
        <f aca="false">IF($B994="","",C994*IFERROR(INDEX(Products!$E$2:$E$201,MATCH($B994,Products!$A$2:$A$201,0)),0))</f>
        <v/>
      </c>
      <c r="J994" s="17" t="str">
        <f aca="false">IF($B994="","",H994-I994)</f>
        <v/>
      </c>
      <c r="K994" s="16" t="str">
        <f aca="false">IF($A994="","",DATE(YEAR($A994),MONTH($A994),1))</f>
        <v/>
      </c>
    </row>
    <row r="995" customFormat="false" ht="15" hidden="false" customHeight="false" outlineLevel="0" collapsed="false">
      <c r="A995" s="25"/>
      <c r="B995" s="19"/>
      <c r="C995" s="19"/>
      <c r="D995" s="26"/>
      <c r="E995" s="27" t="str">
        <f aca="false">IF($B995="","",IFERROR(INDEX(Products!$B$2:$B$201,MATCH($B995,Products!$A$2:$A$201,0)),"Unknown code"))</f>
        <v/>
      </c>
      <c r="F995" s="22" t="str">
        <f aca="false">IF($B995="","",IFERROR(INDEX(Products!$C$2:$C$201,MATCH($B995,Products!$A$2:$A$201,0)),""))</f>
        <v/>
      </c>
      <c r="G995" s="17" t="str">
        <f aca="false">IF($B995="","",IFERROR(INDEX(Products!$D$2:$D$201,MATCH($B995,Products!$A$2:$A$201,0)),0))</f>
        <v/>
      </c>
      <c r="H995" s="17" t="str">
        <f aca="false">IF($B995="","",C995*G995*(1-D995))</f>
        <v/>
      </c>
      <c r="I995" s="17" t="str">
        <f aca="false">IF($B995="","",C995*IFERROR(INDEX(Products!$E$2:$E$201,MATCH($B995,Products!$A$2:$A$201,0)),0))</f>
        <v/>
      </c>
      <c r="J995" s="17" t="str">
        <f aca="false">IF($B995="","",H995-I995)</f>
        <v/>
      </c>
      <c r="K995" s="16" t="str">
        <f aca="false">IF($A995="","",DATE(YEAR($A995),MONTH($A995),1))</f>
        <v/>
      </c>
    </row>
    <row r="996" customFormat="false" ht="15" hidden="false" customHeight="false" outlineLevel="0" collapsed="false">
      <c r="A996" s="25"/>
      <c r="B996" s="19"/>
      <c r="C996" s="19"/>
      <c r="D996" s="26"/>
      <c r="E996" s="27" t="str">
        <f aca="false">IF($B996="","",IFERROR(INDEX(Products!$B$2:$B$201,MATCH($B996,Products!$A$2:$A$201,0)),"Unknown code"))</f>
        <v/>
      </c>
      <c r="F996" s="22" t="str">
        <f aca="false">IF($B996="","",IFERROR(INDEX(Products!$C$2:$C$201,MATCH($B996,Products!$A$2:$A$201,0)),""))</f>
        <v/>
      </c>
      <c r="G996" s="17" t="str">
        <f aca="false">IF($B996="","",IFERROR(INDEX(Products!$D$2:$D$201,MATCH($B996,Products!$A$2:$A$201,0)),0))</f>
        <v/>
      </c>
      <c r="H996" s="17" t="str">
        <f aca="false">IF($B996="","",C996*G996*(1-D996))</f>
        <v/>
      </c>
      <c r="I996" s="17" t="str">
        <f aca="false">IF($B996="","",C996*IFERROR(INDEX(Products!$E$2:$E$201,MATCH($B996,Products!$A$2:$A$201,0)),0))</f>
        <v/>
      </c>
      <c r="J996" s="17" t="str">
        <f aca="false">IF($B996="","",H996-I996)</f>
        <v/>
      </c>
      <c r="K996" s="16" t="str">
        <f aca="false">IF($A996="","",DATE(YEAR($A996),MONTH($A996),1))</f>
        <v/>
      </c>
    </row>
    <row r="997" customFormat="false" ht="15" hidden="false" customHeight="false" outlineLevel="0" collapsed="false">
      <c r="A997" s="25"/>
      <c r="B997" s="19"/>
      <c r="C997" s="19"/>
      <c r="D997" s="26"/>
      <c r="E997" s="27" t="str">
        <f aca="false">IF($B997="","",IFERROR(INDEX(Products!$B$2:$B$201,MATCH($B997,Products!$A$2:$A$201,0)),"Unknown code"))</f>
        <v/>
      </c>
      <c r="F997" s="22" t="str">
        <f aca="false">IF($B997="","",IFERROR(INDEX(Products!$C$2:$C$201,MATCH($B997,Products!$A$2:$A$201,0)),""))</f>
        <v/>
      </c>
      <c r="G997" s="17" t="str">
        <f aca="false">IF($B997="","",IFERROR(INDEX(Products!$D$2:$D$201,MATCH($B997,Products!$A$2:$A$201,0)),0))</f>
        <v/>
      </c>
      <c r="H997" s="17" t="str">
        <f aca="false">IF($B997="","",C997*G997*(1-D997))</f>
        <v/>
      </c>
      <c r="I997" s="17" t="str">
        <f aca="false">IF($B997="","",C997*IFERROR(INDEX(Products!$E$2:$E$201,MATCH($B997,Products!$A$2:$A$201,0)),0))</f>
        <v/>
      </c>
      <c r="J997" s="17" t="str">
        <f aca="false">IF($B997="","",H997-I997)</f>
        <v/>
      </c>
      <c r="K997" s="16" t="str">
        <f aca="false">IF($A997="","",DATE(YEAR($A997),MONTH($A997),1))</f>
        <v/>
      </c>
    </row>
    <row r="998" customFormat="false" ht="15" hidden="false" customHeight="false" outlineLevel="0" collapsed="false">
      <c r="A998" s="25"/>
      <c r="B998" s="19"/>
      <c r="C998" s="19"/>
      <c r="D998" s="26"/>
      <c r="E998" s="27" t="str">
        <f aca="false">IF($B998="","",IFERROR(INDEX(Products!$B$2:$B$201,MATCH($B998,Products!$A$2:$A$201,0)),"Unknown code"))</f>
        <v/>
      </c>
      <c r="F998" s="22" t="str">
        <f aca="false">IF($B998="","",IFERROR(INDEX(Products!$C$2:$C$201,MATCH($B998,Products!$A$2:$A$201,0)),""))</f>
        <v/>
      </c>
      <c r="G998" s="17" t="str">
        <f aca="false">IF($B998="","",IFERROR(INDEX(Products!$D$2:$D$201,MATCH($B998,Products!$A$2:$A$201,0)),0))</f>
        <v/>
      </c>
      <c r="H998" s="17" t="str">
        <f aca="false">IF($B998="","",C998*G998*(1-D998))</f>
        <v/>
      </c>
      <c r="I998" s="17" t="str">
        <f aca="false">IF($B998="","",C998*IFERROR(INDEX(Products!$E$2:$E$201,MATCH($B998,Products!$A$2:$A$201,0)),0))</f>
        <v/>
      </c>
      <c r="J998" s="17" t="str">
        <f aca="false">IF($B998="","",H998-I998)</f>
        <v/>
      </c>
      <c r="K998" s="16" t="str">
        <f aca="false">IF($A998="","",DATE(YEAR($A998),MONTH($A998),1))</f>
        <v/>
      </c>
    </row>
    <row r="999" customFormat="false" ht="15" hidden="false" customHeight="false" outlineLevel="0" collapsed="false">
      <c r="A999" s="25"/>
      <c r="B999" s="19"/>
      <c r="C999" s="19"/>
      <c r="D999" s="26"/>
      <c r="E999" s="27" t="str">
        <f aca="false">IF($B999="","",IFERROR(INDEX(Products!$B$2:$B$201,MATCH($B999,Products!$A$2:$A$201,0)),"Unknown code"))</f>
        <v/>
      </c>
      <c r="F999" s="22" t="str">
        <f aca="false">IF($B999="","",IFERROR(INDEX(Products!$C$2:$C$201,MATCH($B999,Products!$A$2:$A$201,0)),""))</f>
        <v/>
      </c>
      <c r="G999" s="17" t="str">
        <f aca="false">IF($B999="","",IFERROR(INDEX(Products!$D$2:$D$201,MATCH($B999,Products!$A$2:$A$201,0)),0))</f>
        <v/>
      </c>
      <c r="H999" s="17" t="str">
        <f aca="false">IF($B999="","",C999*G999*(1-D999))</f>
        <v/>
      </c>
      <c r="I999" s="17" t="str">
        <f aca="false">IF($B999="","",C999*IFERROR(INDEX(Products!$E$2:$E$201,MATCH($B999,Products!$A$2:$A$201,0)),0))</f>
        <v/>
      </c>
      <c r="J999" s="17" t="str">
        <f aca="false">IF($B999="","",H999-I999)</f>
        <v/>
      </c>
      <c r="K999" s="16" t="str">
        <f aca="false">IF($A999="","",DATE(YEAR($A999),MONTH($A999),1))</f>
        <v/>
      </c>
    </row>
    <row r="1000" customFormat="false" ht="15" hidden="false" customHeight="false" outlineLevel="0" collapsed="false">
      <c r="A1000" s="25"/>
      <c r="B1000" s="19"/>
      <c r="C1000" s="19"/>
      <c r="D1000" s="26"/>
      <c r="E1000" s="27" t="str">
        <f aca="false">IF($B1000="","",IFERROR(INDEX(Products!$B$2:$B$201,MATCH($B1000,Products!$A$2:$A$201,0)),"Unknown code"))</f>
        <v/>
      </c>
      <c r="F1000" s="22" t="str">
        <f aca="false">IF($B1000="","",IFERROR(INDEX(Products!$C$2:$C$201,MATCH($B1000,Products!$A$2:$A$201,0)),""))</f>
        <v/>
      </c>
      <c r="G1000" s="17" t="str">
        <f aca="false">IF($B1000="","",IFERROR(INDEX(Products!$D$2:$D$201,MATCH($B1000,Products!$A$2:$A$201,0)),0))</f>
        <v/>
      </c>
      <c r="H1000" s="17" t="str">
        <f aca="false">IF($B1000="","",C1000*G1000*(1-D1000))</f>
        <v/>
      </c>
      <c r="I1000" s="17" t="str">
        <f aca="false">IF($B1000="","",C1000*IFERROR(INDEX(Products!$E$2:$E$201,MATCH($B1000,Products!$A$2:$A$201,0)),0))</f>
        <v/>
      </c>
      <c r="J1000" s="17" t="str">
        <f aca="false">IF($B1000="","",H1000-I1000)</f>
        <v/>
      </c>
      <c r="K1000" s="16" t="str">
        <f aca="false">IF($A1000="","",DATE(YEAR($A1000),MONTH($A1000),1))</f>
        <v/>
      </c>
    </row>
    <row r="1001" customFormat="false" ht="15" hidden="false" customHeight="false" outlineLevel="0" collapsed="false">
      <c r="A1001" s="25"/>
      <c r="B1001" s="19"/>
      <c r="C1001" s="19"/>
      <c r="D1001" s="26"/>
      <c r="E1001" s="27" t="str">
        <f aca="false">IF($B1001="","",IFERROR(INDEX(Products!$B$2:$B$201,MATCH($B1001,Products!$A$2:$A$201,0)),"Unknown code"))</f>
        <v/>
      </c>
      <c r="F1001" s="22" t="str">
        <f aca="false">IF($B1001="","",IFERROR(INDEX(Products!$C$2:$C$201,MATCH($B1001,Products!$A$2:$A$201,0)),""))</f>
        <v/>
      </c>
      <c r="G1001" s="17" t="str">
        <f aca="false">IF($B1001="","",IFERROR(INDEX(Products!$D$2:$D$201,MATCH($B1001,Products!$A$2:$A$201,0)),0))</f>
        <v/>
      </c>
      <c r="H1001" s="17" t="str">
        <f aca="false">IF($B1001="","",C1001*G1001*(1-D1001))</f>
        <v/>
      </c>
      <c r="I1001" s="17" t="str">
        <f aca="false">IF($B1001="","",C1001*IFERROR(INDEX(Products!$E$2:$E$201,MATCH($B1001,Products!$A$2:$A$201,0)),0))</f>
        <v/>
      </c>
      <c r="J1001" s="17" t="str">
        <f aca="false">IF($B1001="","",H1001-I1001)</f>
        <v/>
      </c>
      <c r="K1001" s="16" t="str">
        <f aca="false">IF($A1001="","",DATE(YEAR($A1001),MONTH($A1001),1))</f>
        <v/>
      </c>
    </row>
  </sheetData>
  <autoFilter ref="A1:K1001"/>
  <conditionalFormatting sqref="E2:E1001">
    <cfRule type="cellIs" priority="2" operator="equal" aboveAverage="0" equalAverage="0" bottom="0" percent="0" rank="0" text="" dxfId="8">
      <formula>"Unknown code"</formula>
    </cfRule>
  </conditionalFormatting>
  <dataValidations count="4">
    <dataValidation allowBlank="true" errorStyle="stop" operator="between" showDropDown="false" showErrorMessage="true" showInputMessage="false" sqref="B2:B1001" type="list">
      <formula1>Products!$A$2:$A$201</formula1>
      <formula2>0</formula2>
    </dataValidation>
    <dataValidation allowBlank="true" errorStyle="stop" operator="greaterThan" showDropDown="false" showErrorMessage="false" showInputMessage="false" sqref="C2:C1001" type="whole">
      <formula1>0</formula1>
      <formula2>0</formula2>
    </dataValidation>
    <dataValidation allowBlank="true" errorStyle="stop" operator="between" showDropDown="false" showErrorMessage="false" showInputMessage="false" sqref="D2:D1001" type="decimal">
      <formula1>0</formula1>
      <formula2>1</formula2>
    </dataValidation>
    <dataValidation allowBlank="true" errorStyle="stop" operator="greaterThan" showDropDown="false" showErrorMessage="false" showInputMessage="false" sqref="A2:A10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2026-10-14T01:55:03Z</dcterms:created>
  <dc:creator>openpyxl</dc:creator>
  <dc:description/>
  <dc:language>en-US</dc:language>
  <cp:lastModifiedBy/>
  <dcterms:modified xsi:type="dcterms:W3CDTF">2026-10-13T19:55:08Z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